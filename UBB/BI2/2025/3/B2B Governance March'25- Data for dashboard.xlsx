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infosystechnologies.sharepoint.com/sites/B2BMonthlyGovernance/Shared Documents/General/ACC Governance decks - Ching Wan/"/>
    </mc:Choice>
  </mc:AlternateContent>
  <xr:revisionPtr revIDLastSave="1213" documentId="11_0B1D56BE9CDCCE836B02CE7A5FB0D4A9BBFD1C62" xr6:coauthVersionLast="47" xr6:coauthVersionMax="47" xr10:uidLastSave="{094AD6ED-EBEE-437E-84D1-695C528567AA}"/>
  <bookViews>
    <workbookView xWindow="-110" yWindow="-110" windowWidth="19420" windowHeight="10300" tabRatio="643" xr2:uid="{00000000-000D-0000-FFFF-FFFF00000000}"/>
  </bookViews>
  <sheets>
    <sheet name="Support" sheetId="1" r:id="rId1"/>
    <sheet name="Development" sheetId="2" r:id="rId2"/>
    <sheet name="Roll up - Support" sheetId="3" r:id="rId3"/>
    <sheet name="Roll up - Dev" sheetId="4" r:id="rId4"/>
  </sheets>
  <definedNames>
    <definedName name="_xlnm._FilterDatabase" localSheetId="1" hidden="1">Development!$B$4:$O$62</definedName>
    <definedName name="_xlnm._FilterDatabase" localSheetId="0" hidden="1">Support!$B$4:$R$48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H8" i="4"/>
  <c r="H9" i="4"/>
  <c r="H4" i="4"/>
  <c r="G5" i="4"/>
  <c r="G6" i="4"/>
  <c r="G7" i="4"/>
  <c r="G8" i="4"/>
  <c r="G9" i="4"/>
  <c r="G4" i="4"/>
  <c r="F5" i="4"/>
  <c r="F6" i="4"/>
  <c r="F7" i="4"/>
  <c r="F8" i="4"/>
  <c r="F9" i="4"/>
  <c r="F4" i="4"/>
  <c r="E6" i="4"/>
  <c r="E7" i="4"/>
  <c r="E8" i="4"/>
  <c r="E9" i="4"/>
  <c r="D6" i="4"/>
  <c r="D7" i="4"/>
  <c r="D8" i="4"/>
  <c r="D9" i="4"/>
  <c r="F6" i="2"/>
  <c r="D5" i="4" s="1"/>
  <c r="F5" i="2"/>
  <c r="D4" i="4" s="1"/>
  <c r="J5" i="3"/>
  <c r="J6" i="3"/>
  <c r="J7" i="3"/>
  <c r="J4" i="3"/>
  <c r="I5" i="3"/>
  <c r="I6" i="3"/>
  <c r="I7" i="3"/>
  <c r="I4" i="3"/>
  <c r="H5" i="3"/>
  <c r="H6" i="3"/>
  <c r="H7" i="3"/>
  <c r="H4" i="3"/>
  <c r="G5" i="3"/>
  <c r="G6" i="3"/>
  <c r="G7" i="3"/>
  <c r="G4" i="3"/>
  <c r="F4" i="3"/>
  <c r="F5" i="3"/>
  <c r="F6" i="3"/>
  <c r="F7" i="3"/>
  <c r="E5" i="3"/>
  <c r="E6" i="3"/>
  <c r="E7" i="3"/>
  <c r="E4" i="3"/>
  <c r="D6" i="3"/>
  <c r="D7" i="3"/>
  <c r="D5" i="3"/>
  <c r="D4" i="3"/>
  <c r="G6" i="2"/>
  <c r="E5" i="4" s="1"/>
  <c r="G5" i="2"/>
  <c r="E4" i="4" s="1"/>
  <c r="E13" i="4" l="1"/>
  <c r="H14" i="4"/>
  <c r="E14" i="4"/>
  <c r="H13" i="4"/>
  <c r="F14" i="4"/>
  <c r="F13" i="4"/>
  <c r="D13" i="4"/>
  <c r="D12" i="3"/>
  <c r="E12" i="3" s="1"/>
  <c r="F12" i="3" s="1"/>
  <c r="G12" i="3" s="1"/>
  <c r="H12" i="3" s="1"/>
  <c r="I12" i="3" s="1"/>
  <c r="J12" i="3" s="1"/>
  <c r="D14" i="4"/>
  <c r="D11" i="3"/>
  <c r="E11" i="3" s="1"/>
  <c r="F11" i="3" s="1"/>
  <c r="G11" i="3" s="1"/>
  <c r="H11" i="3" s="1"/>
  <c r="I11" i="3" s="1"/>
  <c r="J11" i="3" s="1"/>
  <c r="G13" i="4"/>
  <c r="G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tc={B49B32BE-6ECA-4778-A874-B96EBF564C1F}</author>
    <author>tc={E7FD3CCC-AE0A-4E39-A317-00FCF1D5C56C}</author>
  </authors>
  <commentList>
    <comment ref="G7" authorId="0" shapeId="0" xr:uid="{B49B32BE-6ECA-4778-A874-B96EBF564C1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now not available in ADO, working to have them from next SPRINT</t>
      </text>
    </comment>
    <comment ref="G8" authorId="1" shapeId="0" xr:uid="{E7FD3CCC-AE0A-4E39-A317-00FCF1D5C56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now not available in ADO, working to have them from next SPRINT</t>
      </text>
    </comment>
  </commentList>
</comments>
</file>

<file path=xl/sharedStrings.xml><?xml version="1.0" encoding="utf-8"?>
<sst xmlns="http://schemas.openxmlformats.org/spreadsheetml/2006/main" count="782" uniqueCount="77">
  <si>
    <t>Incidents</t>
  </si>
  <si>
    <t>Service Requests</t>
  </si>
  <si>
    <t xml:space="preserve">Enhancements </t>
  </si>
  <si>
    <t>Service Improvements</t>
  </si>
  <si>
    <t>Portfolio</t>
  </si>
  <si>
    <t>App / Product Name</t>
  </si>
  <si>
    <t>Owner</t>
  </si>
  <si>
    <t>Month (2025)</t>
  </si>
  <si>
    <t>Total Incidents</t>
  </si>
  <si>
    <t>Number of major incidents (P1 &amp; P2)</t>
  </si>
  <si>
    <t>Number of Aged Incidents (Over 30 days)</t>
  </si>
  <si>
    <t>Tasks Received</t>
  </si>
  <si>
    <t>Open Tasks</t>
  </si>
  <si>
    <t>Completed Tasks</t>
  </si>
  <si>
    <t>Aged Tasks (Over 30 days)</t>
  </si>
  <si>
    <t>Enhancement Requests</t>
  </si>
  <si>
    <t>Completed Enhancements</t>
  </si>
  <si>
    <t>Enhancement Backlog</t>
  </si>
  <si>
    <t>Aged Enhancements in Backlog (Over 30 days)</t>
  </si>
  <si>
    <t>Number of improvements</t>
  </si>
  <si>
    <t>Comment on the improvement</t>
  </si>
  <si>
    <t>Aviation</t>
  </si>
  <si>
    <t>Airfeild Automation</t>
  </si>
  <si>
    <t>Bindu</t>
  </si>
  <si>
    <t>January</t>
  </si>
  <si>
    <t>February</t>
  </si>
  <si>
    <t>CADOPS and RADAR</t>
  </si>
  <si>
    <t>APT</t>
  </si>
  <si>
    <t>Vedangi</t>
  </si>
  <si>
    <t>GCT</t>
  </si>
  <si>
    <t>KEVIN/SYSTEM 42</t>
  </si>
  <si>
    <t>Customer DQ</t>
  </si>
  <si>
    <t>eBilling</t>
  </si>
  <si>
    <t>Mathew Jacob</t>
  </si>
  <si>
    <t>Semarchy</t>
  </si>
  <si>
    <t>Bharat Solanki</t>
  </si>
  <si>
    <t>Market Intel Platform (MIP)</t>
  </si>
  <si>
    <t>PowerApps</t>
  </si>
  <si>
    <t>AA Database</t>
  </si>
  <si>
    <t>Castrol</t>
  </si>
  <si>
    <t>GME Document Hub</t>
  </si>
  <si>
    <t>DRN Portal</t>
  </si>
  <si>
    <t>Formscape</t>
  </si>
  <si>
    <t>Pricing Accelerator</t>
  </si>
  <si>
    <t>Credit App</t>
  </si>
  <si>
    <t>Mira</t>
  </si>
  <si>
    <t>NA</t>
  </si>
  <si>
    <t>Skate</t>
  </si>
  <si>
    <t>OMSOnline</t>
  </si>
  <si>
    <t>EveryAngle</t>
  </si>
  <si>
    <t>GBS</t>
  </si>
  <si>
    <t>Smart Monitoring</t>
  </si>
  <si>
    <t>Velocity</t>
  </si>
  <si>
    <t>Quality</t>
  </si>
  <si>
    <t>AI based productivity improvements</t>
  </si>
  <si>
    <t xml:space="preserve">% of Committed Product Backlog Item (PBI’s) (Ready) vs Delivered (Done) </t>
  </si>
  <si>
    <t xml:space="preserve">% of Story Points (SPs / Efforts) planned vs number of stories delivered </t>
  </si>
  <si>
    <t>Successful CI Changes (%)</t>
  </si>
  <si>
    <t>Number of Priority 3 and Priority 4 Incidents caused by CI Changes</t>
  </si>
  <si>
    <t>Automated test coverage (%)</t>
  </si>
  <si>
    <t>Number of AI based productivity improvement proposals</t>
  </si>
  <si>
    <t>Number of AI based productivity improvement tests</t>
  </si>
  <si>
    <t>Number of AI based productivity improvement approved and in flight</t>
  </si>
  <si>
    <t>Estimated value of productivity improvements ($)</t>
  </si>
  <si>
    <t xml:space="preserve">NA </t>
  </si>
  <si>
    <t>NA (As of now story points are not aplicable will bring into practice from next sprint)</t>
  </si>
  <si>
    <t>Nil</t>
  </si>
  <si>
    <t>CRM</t>
  </si>
  <si>
    <t>myairbp</t>
  </si>
  <si>
    <t>Vinod</t>
  </si>
  <si>
    <t>CEP</t>
  </si>
  <si>
    <t>CEP Fuels</t>
  </si>
  <si>
    <t>Waqas</t>
  </si>
  <si>
    <t>Helpcentre</t>
  </si>
  <si>
    <t>Castrol Shop</t>
  </si>
  <si>
    <t>Fastlane</t>
  </si>
  <si>
    <t>Learning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</si>
</sst>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5" borderId="2" xfId="0" applyFont="1" applyFill="1" applyBorder="1" applyAlignment="1">
      <alignment horizontal="center" vertical="center" wrapText="1"/>
    </xf>
    <xf numFmtId="9" fontId="0" fillId="0" borderId="1" xfId="0" applyNumberFormat="1" applyBorder="1"/>
    <xf numFmtId="9" fontId="0" fillId="0" borderId="1" xfId="0" applyNumberFormat="1" applyBorder="1" applyAlignment="1">
      <alignment horizontal="right"/>
    </xf>
    <xf numFmtId="0" fontId="4" fillId="0" borderId="1" xfId="0" applyFont="1" applyBorder="1"/>
    <xf numFmtId="0" fontId="0" fillId="0" borderId="0" xfId="0" applyAlignment="1">
      <alignment horizontal="center"/>
    </xf>
    <xf numFmtId="9" fontId="0" fillId="0" borderId="1" xfId="1" applyFont="1" applyBorder="1"/>
    <xf numFmtId="9" fontId="0" fillId="0" borderId="6" xfId="0" applyNumberFormat="1" applyBorder="1"/>
    <xf numFmtId="9" fontId="0" fillId="0" borderId="0" xfId="1" applyFont="1"/>
    <xf numFmtId="9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ACC: Incidents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Support'!$D$10</c:f>
              <c:strCache>
                <c:ptCount val="1"/>
                <c:pt idx="0">
                  <c:v>Total Incidents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Support'!$C$11:$C$12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Support'!$D$11:$D$12</c:f>
              <c:numCache>
                <c:formatCode>General</c:formatCode>
                <c:ptCount val="2"/>
                <c:pt idx="0">
                  <c:v>182</c:v>
                </c:pt>
                <c:pt idx="1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1-454E-8578-AB1FE51D84F0}"/>
            </c:ext>
          </c:extLst>
        </c:ser>
        <c:ser>
          <c:idx val="1"/>
          <c:order val="1"/>
          <c:tx>
            <c:strRef>
              <c:f>'Roll up - Support'!$E$10</c:f>
              <c:strCache>
                <c:ptCount val="1"/>
                <c:pt idx="0">
                  <c:v>Number of major incidents (P1 &amp; P2)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Support'!$C$11:$C$12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Support'!$E$11:$E$12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1-454E-8578-AB1FE51D84F0}"/>
            </c:ext>
          </c:extLst>
        </c:ser>
        <c:ser>
          <c:idx val="2"/>
          <c:order val="2"/>
          <c:tx>
            <c:strRef>
              <c:f>'Roll up - Support'!$F$10</c:f>
              <c:strCache>
                <c:ptCount val="1"/>
                <c:pt idx="0">
                  <c:v>Number of Aged Incidents (Over 30 days)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Support'!$C$11:$C$12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Support'!$F$11:$F$12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1-454E-8578-AB1FE51D84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2155296"/>
        <c:axId val="412154816"/>
      </c:lineChart>
      <c:catAx>
        <c:axId val="4121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154816"/>
        <c:crosses val="autoZero"/>
        <c:auto val="1"/>
        <c:lblAlgn val="ctr"/>
        <c:lblOffset val="100"/>
        <c:noMultiLvlLbl val="0"/>
      </c:catAx>
      <c:valAx>
        <c:axId val="4121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1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ACC: Service Requests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'Roll up - Support'!$C$11</c:f>
              <c:strCache>
                <c:ptCount val="1"/>
                <c:pt idx="0">
                  <c:v>January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Support'!$G$10:$J$10</c:f>
              <c:strCache>
                <c:ptCount val="4"/>
                <c:pt idx="0">
                  <c:v>Tasks Received</c:v>
                </c:pt>
                <c:pt idx="1">
                  <c:v>Open Tasks</c:v>
                </c:pt>
                <c:pt idx="2">
                  <c:v>Completed Tasks</c:v>
                </c:pt>
                <c:pt idx="3">
                  <c:v>Aged Tasks (Over 30 days)</c:v>
                </c:pt>
              </c:strCache>
            </c:strRef>
          </c:cat>
          <c:val>
            <c:numRef>
              <c:f>'Roll up - Support'!$G$11:$J$11</c:f>
              <c:numCache>
                <c:formatCode>General</c:formatCode>
                <c:ptCount val="4"/>
                <c:pt idx="0">
                  <c:v>631</c:v>
                </c:pt>
                <c:pt idx="1">
                  <c:v>0</c:v>
                </c:pt>
                <c:pt idx="2">
                  <c:v>420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2-45A0-8000-39EAA9E4C459}"/>
            </c:ext>
          </c:extLst>
        </c:ser>
        <c:ser>
          <c:idx val="1"/>
          <c:order val="1"/>
          <c:tx>
            <c:strRef>
              <c:f>'Roll up - Support'!$C$12</c:f>
              <c:strCache>
                <c:ptCount val="1"/>
                <c:pt idx="0">
                  <c:v>February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Support'!$G$10:$J$10</c:f>
              <c:strCache>
                <c:ptCount val="4"/>
                <c:pt idx="0">
                  <c:v>Tasks Received</c:v>
                </c:pt>
                <c:pt idx="1">
                  <c:v>Open Tasks</c:v>
                </c:pt>
                <c:pt idx="2">
                  <c:v>Completed Tasks</c:v>
                </c:pt>
                <c:pt idx="3">
                  <c:v>Aged Tasks (Over 30 days)</c:v>
                </c:pt>
              </c:strCache>
            </c:strRef>
          </c:cat>
          <c:val>
            <c:numRef>
              <c:f>'Roll up - Support'!$G$12:$J$12</c:f>
              <c:numCache>
                <c:formatCode>General</c:formatCode>
                <c:ptCount val="4"/>
                <c:pt idx="0">
                  <c:v>439</c:v>
                </c:pt>
                <c:pt idx="1">
                  <c:v>0</c:v>
                </c:pt>
                <c:pt idx="2">
                  <c:v>228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2-45A0-8000-39EAA9E4C4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7967520"/>
        <c:axId val="407968000"/>
      </c:barChart>
      <c:catAx>
        <c:axId val="4079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968000"/>
        <c:crosses val="autoZero"/>
        <c:auto val="1"/>
        <c:lblAlgn val="ctr"/>
        <c:lblOffset val="100"/>
        <c:noMultiLvlLbl val="0"/>
      </c:catAx>
      <c:valAx>
        <c:axId val="40796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96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Castrol: Incidents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Support'!$D$16</c:f>
              <c:strCache>
                <c:ptCount val="1"/>
                <c:pt idx="0">
                  <c:v>Total Incidents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Support'!$C$17:$C$18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Support'!$D$17:$D$18</c:f>
              <c:numCache>
                <c:formatCode>General</c:formatCode>
                <c:ptCount val="2"/>
                <c:pt idx="0">
                  <c:v>65</c:v>
                </c:pt>
                <c:pt idx="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B-466F-A790-60494B680974}"/>
            </c:ext>
          </c:extLst>
        </c:ser>
        <c:ser>
          <c:idx val="1"/>
          <c:order val="1"/>
          <c:tx>
            <c:strRef>
              <c:f>'Roll up - Support'!$E$16</c:f>
              <c:strCache>
                <c:ptCount val="1"/>
                <c:pt idx="0">
                  <c:v>Number of major incidents (P1 &amp; P2)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'Roll up - Support'!$C$17:$C$18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Support'!$E$17:$E$18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B-466F-A790-60494B680974}"/>
            </c:ext>
          </c:extLst>
        </c:ser>
        <c:ser>
          <c:idx val="2"/>
          <c:order val="2"/>
          <c:tx>
            <c:strRef>
              <c:f>'Roll up - Support'!$F$16</c:f>
              <c:strCache>
                <c:ptCount val="1"/>
                <c:pt idx="0">
                  <c:v>Number of Aged Incidents (Over 30 days)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Support'!$C$17:$C$18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Support'!$F$17:$F$18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B-466F-A790-60494B680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678912"/>
        <c:axId val="1051698592"/>
      </c:lineChart>
      <c:catAx>
        <c:axId val="10516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98592"/>
        <c:crosses val="autoZero"/>
        <c:auto val="1"/>
        <c:lblAlgn val="ctr"/>
        <c:lblOffset val="100"/>
        <c:noMultiLvlLbl val="0"/>
      </c:catAx>
      <c:valAx>
        <c:axId val="10516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Castrol: Service Requests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'Roll up - Support'!$C$21</c:f>
              <c:strCache>
                <c:ptCount val="1"/>
                <c:pt idx="0">
                  <c:v>January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'Roll up - Support'!$D$20:$G$20</c:f>
              <c:strCache>
                <c:ptCount val="4"/>
                <c:pt idx="0">
                  <c:v>Tasks Received</c:v>
                </c:pt>
                <c:pt idx="1">
                  <c:v>Open Tasks</c:v>
                </c:pt>
                <c:pt idx="2">
                  <c:v>Completed Tasks</c:v>
                </c:pt>
                <c:pt idx="3">
                  <c:v>Aged Tasks (Over 30 days)</c:v>
                </c:pt>
              </c:strCache>
            </c:strRef>
          </c:cat>
          <c:val>
            <c:numRef>
              <c:f>'Roll up - Support'!$D$21:$G$21</c:f>
              <c:numCache>
                <c:formatCode>General</c:formatCode>
                <c:ptCount val="4"/>
                <c:pt idx="0">
                  <c:v>122</c:v>
                </c:pt>
                <c:pt idx="1">
                  <c:v>0</c:v>
                </c:pt>
                <c:pt idx="2">
                  <c:v>122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8-4384-8587-45B05164964C}"/>
            </c:ext>
          </c:extLst>
        </c:ser>
        <c:ser>
          <c:idx val="1"/>
          <c:order val="1"/>
          <c:tx>
            <c:strRef>
              <c:f>'Roll up - Support'!$C$22</c:f>
              <c:strCache>
                <c:ptCount val="1"/>
                <c:pt idx="0">
                  <c:v>February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'Roll up - Support'!$D$20:$G$20</c:f>
              <c:strCache>
                <c:ptCount val="4"/>
                <c:pt idx="0">
                  <c:v>Tasks Received</c:v>
                </c:pt>
                <c:pt idx="1">
                  <c:v>Open Tasks</c:v>
                </c:pt>
                <c:pt idx="2">
                  <c:v>Completed Tasks</c:v>
                </c:pt>
                <c:pt idx="3">
                  <c:v>Aged Tasks (Over 30 days)</c:v>
                </c:pt>
              </c:strCache>
            </c:strRef>
          </c:cat>
          <c:val>
            <c:numRef>
              <c:f>'Roll up - Support'!$D$22:$G$22</c:f>
              <c:numCache>
                <c:formatCode>General</c:formatCode>
                <c:ptCount val="4"/>
                <c:pt idx="0">
                  <c:v>106</c:v>
                </c:pt>
                <c:pt idx="1">
                  <c:v>0</c:v>
                </c:pt>
                <c:pt idx="2">
                  <c:v>106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8-4384-8587-45B051649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0541575"/>
        <c:axId val="1437509127"/>
      </c:barChart>
      <c:catAx>
        <c:axId val="1370541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09127"/>
        <c:crosses val="autoZero"/>
        <c:auto val="1"/>
        <c:lblAlgn val="ctr"/>
        <c:lblOffset val="100"/>
        <c:noMultiLvlLbl val="0"/>
      </c:catAx>
      <c:valAx>
        <c:axId val="143750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41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Aviation: Incidents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Support'!$D$25</c:f>
              <c:strCache>
                <c:ptCount val="1"/>
                <c:pt idx="0">
                  <c:v>Total Incidents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'Roll up - Support'!$C$26:$C$27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Support'!$D$26:$D$27</c:f>
              <c:numCache>
                <c:formatCode>General</c:formatCode>
                <c:ptCount val="2"/>
                <c:pt idx="0">
                  <c:v>115</c:v>
                </c:pt>
                <c:pt idx="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1-425F-8794-B0313F955FF0}"/>
            </c:ext>
          </c:extLst>
        </c:ser>
        <c:ser>
          <c:idx val="1"/>
          <c:order val="1"/>
          <c:tx>
            <c:strRef>
              <c:f>'Roll up - Support'!$E$25</c:f>
              <c:strCache>
                <c:ptCount val="1"/>
                <c:pt idx="0">
                  <c:v>Number of major incidents (P1 &amp; P2)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'Roll up - Support'!$C$26:$C$27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Support'!$E$26:$E$27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1-425F-8794-B0313F955FF0}"/>
            </c:ext>
          </c:extLst>
        </c:ser>
        <c:ser>
          <c:idx val="2"/>
          <c:order val="2"/>
          <c:tx>
            <c:strRef>
              <c:f>'Roll up - Support'!$F$25</c:f>
              <c:strCache>
                <c:ptCount val="1"/>
                <c:pt idx="0">
                  <c:v>Number of Aged Incidents (Over 30 days)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'Roll up - Support'!$C$26:$C$27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Support'!$F$26:$F$27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1-425F-8794-B0313F955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223728"/>
        <c:axId val="1062224208"/>
      </c:lineChart>
      <c:catAx>
        <c:axId val="10622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24208"/>
        <c:crosses val="autoZero"/>
        <c:auto val="1"/>
        <c:lblAlgn val="ctr"/>
        <c:lblOffset val="100"/>
        <c:noMultiLvlLbl val="0"/>
      </c:catAx>
      <c:valAx>
        <c:axId val="10622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Aviation: Service Requests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'Roll up - Support'!$C$29</c:f>
              <c:strCache>
                <c:ptCount val="1"/>
                <c:pt idx="0">
                  <c:v>January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'Roll up - Support'!$D$28:$G$28</c:f>
              <c:strCache>
                <c:ptCount val="4"/>
                <c:pt idx="0">
                  <c:v>Tasks Received</c:v>
                </c:pt>
                <c:pt idx="1">
                  <c:v>Open Tasks</c:v>
                </c:pt>
                <c:pt idx="2">
                  <c:v>Completed Tasks</c:v>
                </c:pt>
                <c:pt idx="3">
                  <c:v>Aged Tasks (Over 30 days)</c:v>
                </c:pt>
              </c:strCache>
            </c:strRef>
          </c:cat>
          <c:val>
            <c:numRef>
              <c:f>'Roll up - Support'!$D$29:$G$29</c:f>
              <c:numCache>
                <c:formatCode>General</c:formatCode>
                <c:ptCount val="4"/>
                <c:pt idx="0">
                  <c:v>163</c:v>
                </c:pt>
                <c:pt idx="1">
                  <c:v>0</c:v>
                </c:pt>
                <c:pt idx="2">
                  <c:v>163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D-421E-95EF-EB2AD2B3B2DC}"/>
            </c:ext>
          </c:extLst>
        </c:ser>
        <c:ser>
          <c:idx val="1"/>
          <c:order val="1"/>
          <c:tx>
            <c:strRef>
              <c:f>'Roll up - Support'!$C$30</c:f>
              <c:strCache>
                <c:ptCount val="1"/>
                <c:pt idx="0">
                  <c:v>February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'Roll up - Support'!$D$28:$G$28</c:f>
              <c:strCache>
                <c:ptCount val="4"/>
                <c:pt idx="0">
                  <c:v>Tasks Received</c:v>
                </c:pt>
                <c:pt idx="1">
                  <c:v>Open Tasks</c:v>
                </c:pt>
                <c:pt idx="2">
                  <c:v>Completed Tasks</c:v>
                </c:pt>
                <c:pt idx="3">
                  <c:v>Aged Tasks (Over 30 days)</c:v>
                </c:pt>
              </c:strCache>
            </c:strRef>
          </c:cat>
          <c:val>
            <c:numRef>
              <c:f>'Roll up - Support'!$D$30:$G$30</c:f>
              <c:numCache>
                <c:formatCode>General</c:formatCode>
                <c:ptCount val="4"/>
                <c:pt idx="0">
                  <c:v>59</c:v>
                </c:pt>
                <c:pt idx="1">
                  <c:v>0</c:v>
                </c:pt>
                <c:pt idx="2">
                  <c:v>59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D-421E-95EF-EB2AD2B3B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0519519"/>
        <c:axId val="1220518079"/>
      </c:barChart>
      <c:catAx>
        <c:axId val="122051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18079"/>
        <c:crosses val="autoZero"/>
        <c:auto val="1"/>
        <c:lblAlgn val="ctr"/>
        <c:lblOffset val="100"/>
        <c:noMultiLvlLbl val="0"/>
      </c:catAx>
      <c:valAx>
        <c:axId val="12205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1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ACC: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Dev'!$D$12</c:f>
              <c:strCache>
                <c:ptCount val="1"/>
                <c:pt idx="0">
                  <c:v>% of Committed Product Backlog Item (PBI’s) (Ready) vs Delivered (Done)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Dev'!$C$13:$C$14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Dev'!$D$13:$D$14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D-46FA-8792-D3B30C3E8C85}"/>
            </c:ext>
          </c:extLst>
        </c:ser>
        <c:ser>
          <c:idx val="1"/>
          <c:order val="1"/>
          <c:tx>
            <c:strRef>
              <c:f>'Roll up - Dev'!$E$12</c:f>
              <c:strCache>
                <c:ptCount val="1"/>
                <c:pt idx="0">
                  <c:v>% of Story Points (SPs / Efforts) planned vs number of stories delivered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Dev'!$C$13:$C$14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Dev'!$E$13:$E$14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6D-46FA-8792-D3B30C3E8C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20151152"/>
        <c:axId val="520151632"/>
      </c:lineChart>
      <c:catAx>
        <c:axId val="52015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51632"/>
        <c:crosses val="autoZero"/>
        <c:auto val="1"/>
        <c:lblAlgn val="ctr"/>
        <c:lblOffset val="100"/>
        <c:noMultiLvlLbl val="0"/>
      </c:catAx>
      <c:valAx>
        <c:axId val="5201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5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ACC:</a:t>
            </a:r>
            <a:r>
              <a:rPr lang="en-GB" baseline="0"/>
              <a:t> Quality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'Roll up - Dev'!$G$12</c:f>
              <c:strCache>
                <c:ptCount val="1"/>
                <c:pt idx="0">
                  <c:v>Number of Priority 3 and Priority 4 Incidents caused by CI Changes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'Roll up - Dev'!$C$13:$C$14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Dev'!$G$13:$G$14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0-4330-A963-9819B44B4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0732128"/>
        <c:axId val="1380731648"/>
      </c:barChart>
      <c:lineChart>
        <c:grouping val="standard"/>
        <c:varyColors val="0"/>
        <c:ser>
          <c:idx val="0"/>
          <c:order val="0"/>
          <c:tx>
            <c:strRef>
              <c:f>'Roll up - Dev'!$F$12</c:f>
              <c:strCache>
                <c:ptCount val="1"/>
                <c:pt idx="0">
                  <c:v>Successful CI Changes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Dev'!$C$13:$C$14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Dev'!$F$13:$F$14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0-4330-A963-9819B44B416E}"/>
            </c:ext>
          </c:extLst>
        </c:ser>
        <c:ser>
          <c:idx val="2"/>
          <c:order val="2"/>
          <c:tx>
            <c:strRef>
              <c:f>'Roll up - Dev'!$H$12</c:f>
              <c:strCache>
                <c:ptCount val="1"/>
                <c:pt idx="0">
                  <c:v>Automated test coverage (%)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Dev'!$C$13:$C$14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Dev'!$H$13:$H$14</c:f>
              <c:numCache>
                <c:formatCode>0%</c:formatCode>
                <c:ptCount val="2"/>
                <c:pt idx="0">
                  <c:v>0.84250000000000003</c:v>
                </c:pt>
                <c:pt idx="1">
                  <c:v>0.86499999999999999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A0-4330-A963-9819B44B4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714160"/>
        <c:axId val="532715120"/>
      </c:lineChart>
      <c:catAx>
        <c:axId val="53271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15120"/>
        <c:crosses val="autoZero"/>
        <c:auto val="1"/>
        <c:lblAlgn val="ctr"/>
        <c:lblOffset val="100"/>
        <c:noMultiLvlLbl val="0"/>
      </c:catAx>
      <c:valAx>
        <c:axId val="532715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14160"/>
        <c:crosses val="autoZero"/>
        <c:crossBetween val="between"/>
      </c:valAx>
      <c:valAx>
        <c:axId val="1380731648"/>
        <c:scaling>
          <c:orientation val="minMax"/>
          <c:max val="10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32128"/>
        <c:crosses val="max"/>
        <c:crossBetween val="between"/>
      </c:valAx>
      <c:catAx>
        <c:axId val="1380732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0731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CRM: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Dev'!$D$20</c:f>
              <c:strCache>
                <c:ptCount val="1"/>
                <c:pt idx="0">
                  <c:v>% of Committed Product Backlog Item (PBI’s) (Ready) vs Delivered (Done)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2764505119453925E-2"/>
                  <c:y val="-5.5437100213219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72-495A-A856-E6808AF62D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Dev'!$C$21:$C$22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Dev'!$D$21:$D$22</c:f>
              <c:numCache>
                <c:formatCode>0%</c:formatCode>
                <c:ptCount val="2"/>
                <c:pt idx="0">
                  <c:v>0.94833333333333325</c:v>
                </c:pt>
                <c:pt idx="1">
                  <c:v>0.92499999999999993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C-4944-B8E5-892A452FC645}"/>
            </c:ext>
          </c:extLst>
        </c:ser>
        <c:ser>
          <c:idx val="1"/>
          <c:order val="1"/>
          <c:tx>
            <c:strRef>
              <c:f>'Roll up - Dev'!$E$20</c:f>
              <c:strCache>
                <c:ptCount val="1"/>
                <c:pt idx="0">
                  <c:v>% of Story Points (SPs / Efforts) planned vs number of stories delivered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5494880546075087E-2"/>
                  <c:y val="6.8230277185501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72-495A-A856-E6808AF62D5B}"/>
                </c:ext>
              </c:extLst>
            </c:dLbl>
            <c:dLbl>
              <c:idx val="1"/>
              <c:layout>
                <c:manualLayout>
                  <c:x val="-8.1911262798635819E-3"/>
                  <c:y val="5.9701492537313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72-495A-A856-E6808AF62D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Dev'!$C$21:$C$22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Dev'!$E$21:$E$22</c:f>
              <c:numCache>
                <c:formatCode>0%</c:formatCode>
                <c:ptCount val="2"/>
                <c:pt idx="0">
                  <c:v>0.92500000000000016</c:v>
                </c:pt>
                <c:pt idx="1">
                  <c:v>0.91166666666666674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C-4944-B8E5-892A452FC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807536"/>
        <c:axId val="1292809936"/>
      </c:lineChart>
      <c:catAx>
        <c:axId val="129280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09936"/>
        <c:crosses val="autoZero"/>
        <c:auto val="1"/>
        <c:lblAlgn val="ctr"/>
        <c:lblOffset val="100"/>
        <c:noMultiLvlLbl val="0"/>
      </c:catAx>
      <c:valAx>
        <c:axId val="1292809936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0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CRM: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'Roll up - Dev'!$E$28</c:f>
              <c:strCache>
                <c:ptCount val="1"/>
                <c:pt idx="0">
                  <c:v>Number of Priority 3 and Priority 4 Incidents caused by CI Changes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'Roll up - Dev'!$C$29:$C$30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Dev'!$E$29:$E$30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6-46BB-8C96-9CF8AC058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6142383"/>
        <c:axId val="1086137103"/>
      </c:barChart>
      <c:lineChart>
        <c:grouping val="standard"/>
        <c:varyColors val="0"/>
        <c:ser>
          <c:idx val="0"/>
          <c:order val="0"/>
          <c:tx>
            <c:strRef>
              <c:f>'Roll up - Dev'!$D$28</c:f>
              <c:strCache>
                <c:ptCount val="1"/>
                <c:pt idx="0">
                  <c:v>Successful CI Changes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Dev'!$C$29:$C$30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Dev'!$D$29:$D$30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6-46BB-8C96-9CF8AC058004}"/>
            </c:ext>
          </c:extLst>
        </c:ser>
        <c:ser>
          <c:idx val="2"/>
          <c:order val="2"/>
          <c:tx>
            <c:strRef>
              <c:f>'Roll up - Dev'!$F$28</c:f>
              <c:strCache>
                <c:ptCount val="1"/>
                <c:pt idx="0">
                  <c:v>Automated test coverage (%)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Dev'!$C$29:$C$30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Dev'!$F$29:$F$30</c:f>
              <c:numCache>
                <c:formatCode>0%</c:formatCode>
                <c:ptCount val="2"/>
                <c:pt idx="0">
                  <c:v>0.875</c:v>
                </c:pt>
                <c:pt idx="1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46-46BB-8C96-9CF8AC058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774480"/>
        <c:axId val="932784080"/>
      </c:lineChart>
      <c:catAx>
        <c:axId val="93277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84080"/>
        <c:crosses val="autoZero"/>
        <c:auto val="1"/>
        <c:lblAlgn val="ctr"/>
        <c:lblOffset val="100"/>
        <c:noMultiLvlLbl val="0"/>
      </c:catAx>
      <c:valAx>
        <c:axId val="932784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74480"/>
        <c:crosses val="autoZero"/>
        <c:crossBetween val="between"/>
      </c:valAx>
      <c:valAx>
        <c:axId val="1086137103"/>
        <c:scaling>
          <c:orientation val="minMax"/>
          <c:max val="10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42383"/>
        <c:crosses val="max"/>
        <c:crossBetween val="between"/>
      </c:valAx>
      <c:catAx>
        <c:axId val="10861423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6137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Castrol: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Dev'!$D$33</c:f>
              <c:strCache>
                <c:ptCount val="1"/>
                <c:pt idx="0">
                  <c:v>% of Committed Product Backlog Item (PBI’s) (Ready) vs Delivered (Done)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Dev'!$C$34:$C$35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Dev'!$D$34:$D$35</c:f>
              <c:numCache>
                <c:formatCode>0%</c:formatCode>
                <c:ptCount val="2"/>
                <c:pt idx="0">
                  <c:v>0.4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4-430C-809C-1352A896DBDB}"/>
            </c:ext>
          </c:extLst>
        </c:ser>
        <c:ser>
          <c:idx val="1"/>
          <c:order val="1"/>
          <c:tx>
            <c:strRef>
              <c:f>'Roll up - Dev'!$E$33</c:f>
              <c:strCache>
                <c:ptCount val="1"/>
                <c:pt idx="0">
                  <c:v>% of Story Points (SPs / Efforts) planned vs number of stories delivered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Dev'!$C$34:$C$35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Dev'!$E$34:$E$35</c:f>
              <c:numCache>
                <c:formatCode>0%</c:formatCode>
                <c:ptCount val="2"/>
                <c:pt idx="0">
                  <c:v>1</c:v>
                </c:pt>
                <c:pt idx="1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D4-430C-809C-1352A896D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2298207"/>
        <c:axId val="1076742047"/>
      </c:lineChart>
      <c:catAx>
        <c:axId val="123229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42047"/>
        <c:crosses val="autoZero"/>
        <c:auto val="1"/>
        <c:lblAlgn val="ctr"/>
        <c:lblOffset val="100"/>
        <c:noMultiLvlLbl val="0"/>
      </c:catAx>
      <c:valAx>
        <c:axId val="10767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9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Castrol: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Dev'!$D$37</c:f>
              <c:strCache>
                <c:ptCount val="1"/>
                <c:pt idx="0">
                  <c:v>Successful CI Changes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Dev'!$C$38:$C$39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Dev'!$D$38:$D$39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9-4A96-92D8-8A155AF87822}"/>
            </c:ext>
          </c:extLst>
        </c:ser>
        <c:ser>
          <c:idx val="1"/>
          <c:order val="1"/>
          <c:tx>
            <c:strRef>
              <c:f>'Roll up - Dev'!$E$37</c:f>
              <c:strCache>
                <c:ptCount val="1"/>
                <c:pt idx="0">
                  <c:v>Number of Priority 3 and Priority 4 Incidents caused by CI Changes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Dev'!$C$38:$C$39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Dev'!$E$38:$E$39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69-4A96-92D8-8A155AF87822}"/>
            </c:ext>
          </c:extLst>
        </c:ser>
        <c:ser>
          <c:idx val="2"/>
          <c:order val="2"/>
          <c:tx>
            <c:strRef>
              <c:f>'Roll up - Dev'!$F$37</c:f>
              <c:strCache>
                <c:ptCount val="1"/>
                <c:pt idx="0">
                  <c:v>Automated test coverage (%)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'Roll up - Dev'!$C$38:$C$39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Dev'!$F$38:$F$39</c:f>
              <c:numCache>
                <c:formatCode>0%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9-4A96-92D8-8A155AF87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918751"/>
        <c:axId val="1205919711"/>
      </c:lineChart>
      <c:catAx>
        <c:axId val="120591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19711"/>
        <c:crosses val="autoZero"/>
        <c:auto val="1"/>
        <c:lblAlgn val="ctr"/>
        <c:lblOffset val="100"/>
        <c:noMultiLvlLbl val="0"/>
      </c:catAx>
      <c:valAx>
        <c:axId val="12059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1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Aviation: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Dev'!$D$44</c:f>
              <c:strCache>
                <c:ptCount val="1"/>
                <c:pt idx="0">
                  <c:v>% of Committed Product Backlog Item (PBI’s) (Ready) vs Delivered (Done)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'Roll up - Dev'!$C$45:$C$46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Dev'!$D$45:$D$46</c:f>
              <c:numCache>
                <c:formatCode>0%</c:formatCode>
                <c:ptCount val="2"/>
                <c:pt idx="0">
                  <c:v>0.85641025641025637</c:v>
                </c:pt>
                <c:pt idx="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D-454F-B60C-C37A0D32151D}"/>
            </c:ext>
          </c:extLst>
        </c:ser>
        <c:ser>
          <c:idx val="1"/>
          <c:order val="1"/>
          <c:tx>
            <c:strRef>
              <c:f>'Roll up - Dev'!$E$44</c:f>
              <c:strCache>
                <c:ptCount val="1"/>
                <c:pt idx="0">
                  <c:v>% of Story Points (SPs / Efforts) planned vs number of stories delivered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'Roll up - Dev'!$C$45:$C$46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Dev'!$E$45:$E$46</c:f>
              <c:numCache>
                <c:formatCode>0%</c:formatCode>
                <c:ptCount val="2"/>
                <c:pt idx="0">
                  <c:v>0.75</c:v>
                </c:pt>
                <c:pt idx="1">
                  <c:v>0.56284999999999996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AD-454F-B60C-C37A0D321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075791"/>
        <c:axId val="1086074351"/>
      </c:lineChart>
      <c:catAx>
        <c:axId val="108607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74351"/>
        <c:crosses val="autoZero"/>
        <c:auto val="1"/>
        <c:lblAlgn val="ctr"/>
        <c:lblOffset val="100"/>
        <c:noMultiLvlLbl val="0"/>
      </c:catAx>
      <c:valAx>
        <c:axId val="108607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7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Aviation: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 up - Dev'!$D$49</c:f>
              <c:strCache>
                <c:ptCount val="1"/>
                <c:pt idx="0">
                  <c:v>Successful CI Changes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Dev'!$C$50:$C$51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Dev'!$D$50:$D$51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4-4B30-824A-53FA4754F85D}"/>
            </c:ext>
          </c:extLst>
        </c:ser>
        <c:ser>
          <c:idx val="1"/>
          <c:order val="1"/>
          <c:tx>
            <c:strRef>
              <c:f>'Roll up - Dev'!$E$49</c:f>
              <c:strCache>
                <c:ptCount val="1"/>
                <c:pt idx="0">
                  <c:v>Number of Priority 3 and Priority 4 Incidents caused by CI Changes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Dev'!$C$50:$C$51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Dev'!$E$50:$E$51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4-4B30-824A-53FA4754F85D}"/>
            </c:ext>
          </c:extLst>
        </c:ser>
        <c:ser>
          <c:idx val="2"/>
          <c:order val="2"/>
          <c:tx>
            <c:strRef>
              <c:f>'Roll up - Dev'!$F$49</c:f>
              <c:strCache>
                <c:ptCount val="1"/>
                <c:pt idx="0">
                  <c:v>Automated test coverage (%)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'Roll up - Dev'!$C$50:$C$51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'Roll up - Dev'!$F$50:$F$51</c:f>
              <c:numCache>
                <c:formatCode>0%</c:formatCode>
                <c:ptCount val="2"/>
                <c:pt idx="0">
                  <c:v>0.81</c:v>
                </c:pt>
                <c:pt idx="1">
                  <c:v>0.85499999999999998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4-4B30-824A-53FA4754F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382639"/>
        <c:axId val="1189383119"/>
      </c:lineChart>
      <c:catAx>
        <c:axId val="118938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3119"/>
        <c:crosses val="autoZero"/>
        <c:auto val="1"/>
        <c:lblAlgn val="ctr"/>
        <c:lblOffset val="100"/>
        <c:noMultiLvlLbl val="0"/>
      </c:catAx>
      <c:valAx>
        <c:axId val="11893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244474</xdr:colOff>
      <xdr:row>4</xdr:row>
      <xdr:rowOff>19050</xdr:rowOff>
    </xdr:from>
    <xdr:to>
      <xdr:col>22</xdr:col>
      <xdr:colOff>533399</xdr:colOff>
      <xdr:row>15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6EEF35-AD03-D75C-1F00-948F7E1AA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415925</xdr:colOff>
      <xdr:row>9</xdr:row>
      <xdr:rowOff>196850</xdr:rowOff>
    </xdr:from>
    <xdr:to>
      <xdr:col>20</xdr:col>
      <xdr:colOff>111125</xdr:colOff>
      <xdr:row>22</xdr:row>
      <xdr:rowOff>152400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A25D89C4-158A-F741-FCF1-BE205F4C9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530225</xdr:colOff>
      <xdr:row>12</xdr:row>
      <xdr:rowOff>139700</xdr:rowOff>
    </xdr:from>
    <xdr:to>
      <xdr:col>15</xdr:col>
      <xdr:colOff>196850</xdr:colOff>
      <xdr:row>25</xdr:row>
      <xdr:rowOff>95250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8F068C76-8121-EDC7-2482-7045D923A7E1}"/>
            </a:ext>
            <a:ext uri="{147F2762-F138-4A5C-976F-8EAC2B608ADB}">
              <a16:predDERef xmlns:a16="http://schemas.microsoft.com/office/drawing/2014/main" pred="{A25D89C4-158A-F741-FCF1-BE205F4C9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117475</xdr:colOff>
      <xdr:row>14</xdr:row>
      <xdr:rowOff>76200</xdr:rowOff>
    </xdr:from>
    <xdr:to>
      <xdr:col>14</xdr:col>
      <xdr:colOff>508000</xdr:colOff>
      <xdr:row>25</xdr:row>
      <xdr:rowOff>180975</xdr:rowOff>
    </xdr:to>
    <xdr:graphicFrame macro="">
      <xdr:nvGraphicFramePr>
        <xdr:cNvPr id="13" name="Chart 27">
          <a:extLst>
            <a:ext uri="{FF2B5EF4-FFF2-40B4-BE49-F238E27FC236}">
              <a16:creationId xmlns:a16="http://schemas.microsoft.com/office/drawing/2014/main" id="{F26095E9-15B4-3BDB-D030-C38F3D4C6417}"/>
            </a:ext>
            <a:ext uri="{147F2762-F138-4A5C-976F-8EAC2B608ADB}">
              <a16:predDERef xmlns:a16="http://schemas.microsoft.com/office/drawing/2014/main" pred="{8F068C76-8121-EDC7-2482-7045D923A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168275</xdr:colOff>
      <xdr:row>23</xdr:row>
      <xdr:rowOff>63500</xdr:rowOff>
    </xdr:from>
    <xdr:to>
      <xdr:col>15</xdr:col>
      <xdr:colOff>473075</xdr:colOff>
      <xdr:row>35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32C2B5-F5DD-0C44-9B97-FFB9064F3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606425</xdr:colOff>
      <xdr:row>15</xdr:row>
      <xdr:rowOff>704850</xdr:rowOff>
    </xdr:from>
    <xdr:to>
      <xdr:col>15</xdr:col>
      <xdr:colOff>301625</xdr:colOff>
      <xdr:row>25</xdr:row>
      <xdr:rowOff>177800</xdr:rowOff>
    </xdr:to>
    <xdr:graphicFrame macro="">
      <xdr:nvGraphicFramePr>
        <xdr:cNvPr id="3" name="Chart 14">
          <a:extLst>
            <a:ext uri="{FF2B5EF4-FFF2-40B4-BE49-F238E27FC236}">
              <a16:creationId xmlns:a16="http://schemas.microsoft.com/office/drawing/2014/main" id="{16788AFC-CC05-A56E-F489-326CD7D7D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130174</xdr:colOff>
      <xdr:row>2</xdr:row>
      <xdr:rowOff>1168400</xdr:rowOff>
    </xdr:from>
    <xdr:to>
      <xdr:col>19</xdr:col>
      <xdr:colOff>152399</xdr:colOff>
      <xdr:row>11</xdr:row>
      <xdr:rowOff>1066800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77A6A-3097-BD6C-E15E-5BF28CF4B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231775</xdr:colOff>
      <xdr:row>11</xdr:row>
      <xdr:rowOff>1206500</xdr:rowOff>
    </xdr:from>
    <xdr:to>
      <xdr:col>18</xdr:col>
      <xdr:colOff>536575</xdr:colOff>
      <xdr:row>19</xdr:row>
      <xdr:rowOff>736600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BF890-7CB6-96CB-E5E5-7B35B926B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460374</xdr:colOff>
      <xdr:row>15</xdr:row>
      <xdr:rowOff>6350</xdr:rowOff>
    </xdr:from>
    <xdr:to>
      <xdr:col>19</xdr:col>
      <xdr:colOff>234949</xdr:colOff>
      <xdr:row>24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4C7164-9D51-500B-6699-F9145C08C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130175</xdr:colOff>
      <xdr:row>19</xdr:row>
      <xdr:rowOff>69850</xdr:rowOff>
    </xdr:from>
    <xdr:to>
      <xdr:col>15</xdr:col>
      <xdr:colOff>434975</xdr:colOff>
      <xdr:row>27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AFB00B-0ECB-11E2-1CCC-42ADE4DD9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168275</xdr:colOff>
      <xdr:row>32</xdr:row>
      <xdr:rowOff>558800</xdr:rowOff>
    </xdr:from>
    <xdr:to>
      <xdr:col>15</xdr:col>
      <xdr:colOff>473075</xdr:colOff>
      <xdr:row>43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984626-C6C8-A2BC-202F-6CD18907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536575</xdr:colOff>
      <xdr:row>32</xdr:row>
      <xdr:rowOff>901700</xdr:rowOff>
    </xdr:from>
    <xdr:to>
      <xdr:col>13</xdr:col>
      <xdr:colOff>231775</xdr:colOff>
      <xdr:row>41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9F98C2-9540-1CB5-65C0-2B7EDC744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384175</xdr:colOff>
      <xdr:row>38</xdr:row>
      <xdr:rowOff>139700</xdr:rowOff>
    </xdr:from>
    <xdr:to>
      <xdr:col>14</xdr:col>
      <xdr:colOff>79375</xdr:colOff>
      <xdr:row>53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1C5A74-269F-0652-D508-595C4DB68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536575</xdr:colOff>
      <xdr:row>47</xdr:row>
      <xdr:rowOff>82550</xdr:rowOff>
    </xdr:from>
    <xdr:to>
      <xdr:col>13</xdr:col>
      <xdr:colOff>231775</xdr:colOff>
      <xdr:row>62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BE1E6C-E2A5-A3F2-805C-CA4681121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indumv" id="{A99B285F-F2FC-40E2-8A4E-19D2E943006F}" userId="S::bindumv@ad.infosys.com::6dee05a1-f937-409f-ab2c-23a818e178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03-04T05:55:20.10" personId="{A99B285F-F2FC-40E2-8A4E-19D2E943006F}" id="{B49B32BE-6ECA-4778-A874-B96EBF564C1F}">
    <text>As of now not available in ADO, working to have them from next SPRINT</text>
  </threadedComment>
  <threadedComment ref="G8" dT="2025-03-04T05:55:41.60" personId="{A99B285F-F2FC-40E2-8A4E-19D2E943006F}" id="{E7FD3CCC-AE0A-4E39-A317-00FCF1D5C56C}">
    <text>As of now not available in ADO, working to have them from next SPRINT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B1:R423"/>
  <sheetViews>
    <sheetView showGridLines="0" tabSelected="1" workbookViewId="0">
      <selection activeCell="H4" sqref="H4"/>
    </sheetView>
  </sheetViews>
  <sheetFormatPr defaultRowHeight="14.5" x14ac:dyDescent="0.35"/>
  <cols>
    <col min="1" max="1" width="2.7265625" customWidth="1"/>
    <col min="2" max="2" width="12.453125" bestFit="1" customWidth="1"/>
    <col min="3" max="4" width="17.453125" customWidth="1"/>
    <col min="5" max="5" width="12.81640625" customWidth="1"/>
    <col min="6" max="13" width="10.1796875" customWidth="1"/>
    <col min="14" max="14" width="11.1796875" customWidth="1"/>
    <col min="15" max="16" width="10.1796875" customWidth="1"/>
    <col min="17" max="17" width="14.1796875" customWidth="1"/>
  </cols>
  <sheetData>
    <row r="1" spans="2:18" ht="13" customHeight="1" x14ac:dyDescent="0.35"/>
    <row r="3" spans="2:18" ht="14.5" customHeight="1" x14ac:dyDescent="0.35">
      <c r="B3" s="2"/>
      <c r="C3" s="2"/>
      <c r="D3" s="2"/>
      <c r="E3" s="2"/>
      <c r="F3" s="25" t="s">
        <v>0</v>
      </c>
      <c r="G3" s="25"/>
      <c r="H3" s="25"/>
      <c r="I3" s="26" t="s">
        <v>1</v>
      </c>
      <c r="J3" s="26"/>
      <c r="K3" s="26"/>
      <c r="L3" s="26"/>
      <c r="M3" s="27" t="s">
        <v>2</v>
      </c>
      <c r="N3" s="27"/>
      <c r="O3" s="27"/>
      <c r="P3" s="28"/>
      <c r="Q3" s="29" t="s">
        <v>3</v>
      </c>
      <c r="R3" s="30"/>
    </row>
    <row r="4" spans="2:18" s="1" customFormat="1" ht="60" x14ac:dyDescent="0.35"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4" t="s">
        <v>9</v>
      </c>
      <c r="H4" s="4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6" t="s">
        <v>15</v>
      </c>
      <c r="N4" s="6" t="s">
        <v>16</v>
      </c>
      <c r="O4" s="6" t="s">
        <v>17</v>
      </c>
      <c r="P4" s="10" t="s">
        <v>18</v>
      </c>
      <c r="Q4" s="12" t="s">
        <v>19</v>
      </c>
      <c r="R4" s="12" t="s">
        <v>20</v>
      </c>
    </row>
    <row r="5" spans="2:18" x14ac:dyDescent="0.35">
      <c r="B5" s="2" t="s">
        <v>21</v>
      </c>
      <c r="C5" s="2" t="s">
        <v>22</v>
      </c>
      <c r="D5" s="2" t="s">
        <v>23</v>
      </c>
      <c r="E5" s="2" t="s">
        <v>24</v>
      </c>
      <c r="F5" s="2">
        <v>95</v>
      </c>
      <c r="G5" s="2">
        <v>0</v>
      </c>
      <c r="H5" s="2">
        <v>0</v>
      </c>
      <c r="I5" s="2">
        <v>142</v>
      </c>
      <c r="J5" s="2">
        <v>0</v>
      </c>
      <c r="K5" s="2">
        <v>142</v>
      </c>
      <c r="L5" s="2">
        <v>0</v>
      </c>
      <c r="M5" s="2"/>
      <c r="N5" s="2"/>
      <c r="O5" s="2"/>
      <c r="P5" s="11"/>
      <c r="Q5" s="9"/>
      <c r="R5" s="9"/>
    </row>
    <row r="6" spans="2:18" x14ac:dyDescent="0.35">
      <c r="B6" s="2" t="s">
        <v>21</v>
      </c>
      <c r="C6" s="2" t="s">
        <v>22</v>
      </c>
      <c r="D6" s="2" t="s">
        <v>23</v>
      </c>
      <c r="E6" s="2" t="s">
        <v>25</v>
      </c>
      <c r="F6" s="2">
        <v>121</v>
      </c>
      <c r="G6" s="2">
        <v>0</v>
      </c>
      <c r="H6" s="2">
        <v>0</v>
      </c>
      <c r="I6" s="2">
        <v>152</v>
      </c>
      <c r="J6" s="2">
        <v>7</v>
      </c>
      <c r="K6" s="2">
        <v>145</v>
      </c>
      <c r="L6" s="2">
        <v>0</v>
      </c>
      <c r="M6" s="2"/>
      <c r="N6" s="2"/>
      <c r="O6" s="2"/>
      <c r="P6" s="11"/>
      <c r="Q6" s="9"/>
      <c r="R6" s="9"/>
    </row>
    <row r="7" spans="2:18" x14ac:dyDescent="0.35">
      <c r="B7" s="2" t="s">
        <v>21</v>
      </c>
      <c r="C7" s="2" t="s">
        <v>26</v>
      </c>
      <c r="D7" s="2" t="s">
        <v>23</v>
      </c>
      <c r="E7" s="2" t="s">
        <v>24</v>
      </c>
      <c r="F7" s="2">
        <v>2</v>
      </c>
      <c r="G7" s="2">
        <v>0</v>
      </c>
      <c r="H7" s="2">
        <v>0</v>
      </c>
      <c r="I7" s="2">
        <v>29</v>
      </c>
      <c r="J7" s="2">
        <v>0</v>
      </c>
      <c r="K7" s="2">
        <v>29</v>
      </c>
      <c r="L7" s="2">
        <v>0</v>
      </c>
      <c r="M7" s="2"/>
      <c r="N7" s="2"/>
      <c r="O7" s="2"/>
      <c r="P7" s="11"/>
      <c r="Q7" s="9"/>
      <c r="R7" s="9"/>
    </row>
    <row r="8" spans="2:18" x14ac:dyDescent="0.35">
      <c r="B8" s="2" t="s">
        <v>21</v>
      </c>
      <c r="C8" s="2" t="s">
        <v>26</v>
      </c>
      <c r="D8" s="2" t="s">
        <v>23</v>
      </c>
      <c r="E8" s="2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11"/>
      <c r="Q8" s="9"/>
      <c r="R8" s="9"/>
    </row>
    <row r="9" spans="2:18" x14ac:dyDescent="0.35">
      <c r="B9" s="2" t="s">
        <v>21</v>
      </c>
      <c r="C9" s="2" t="s">
        <v>27</v>
      </c>
      <c r="D9" s="2" t="s">
        <v>28</v>
      </c>
      <c r="E9" s="2" t="s">
        <v>24</v>
      </c>
      <c r="F9" s="15">
        <v>14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2"/>
      <c r="N9" s="2"/>
      <c r="O9" s="2"/>
      <c r="P9" s="11"/>
      <c r="Q9" s="9"/>
      <c r="R9" s="9"/>
    </row>
    <row r="10" spans="2:18" x14ac:dyDescent="0.35">
      <c r="B10" s="2" t="s">
        <v>21</v>
      </c>
      <c r="C10" s="2" t="s">
        <v>27</v>
      </c>
      <c r="D10" s="2" t="s">
        <v>28</v>
      </c>
      <c r="E10" s="2" t="s">
        <v>25</v>
      </c>
      <c r="F10" s="15">
        <v>7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2"/>
      <c r="N10" s="2"/>
      <c r="O10" s="2"/>
      <c r="P10" s="11"/>
      <c r="Q10" s="9"/>
      <c r="R10" s="9"/>
    </row>
    <row r="11" spans="2:18" x14ac:dyDescent="0.35">
      <c r="B11" s="2" t="s">
        <v>21</v>
      </c>
      <c r="C11" s="2" t="s">
        <v>29</v>
      </c>
      <c r="D11" s="2" t="s">
        <v>28</v>
      </c>
      <c r="E11" s="2" t="s">
        <v>24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2"/>
      <c r="N11" s="2"/>
      <c r="O11" s="2"/>
      <c r="P11" s="11"/>
      <c r="Q11" s="9"/>
      <c r="R11" s="9"/>
    </row>
    <row r="12" spans="2:18" x14ac:dyDescent="0.35">
      <c r="B12" s="2" t="s">
        <v>21</v>
      </c>
      <c r="C12" s="2" t="s">
        <v>29</v>
      </c>
      <c r="D12" s="2" t="s">
        <v>28</v>
      </c>
      <c r="E12" s="2" t="s">
        <v>25</v>
      </c>
      <c r="F12" s="15">
        <v>1</v>
      </c>
      <c r="G12" s="15">
        <v>0</v>
      </c>
      <c r="H12" s="15">
        <v>0</v>
      </c>
      <c r="I12" s="15">
        <v>3</v>
      </c>
      <c r="J12" s="15">
        <v>0</v>
      </c>
      <c r="K12" s="15">
        <v>3</v>
      </c>
      <c r="L12" s="15">
        <v>0</v>
      </c>
      <c r="M12" s="2"/>
      <c r="N12" s="2"/>
      <c r="O12" s="2"/>
      <c r="P12" s="11"/>
      <c r="Q12" s="9"/>
      <c r="R12" s="9"/>
    </row>
    <row r="13" spans="2:18" x14ac:dyDescent="0.35">
      <c r="B13" s="2" t="s">
        <v>21</v>
      </c>
      <c r="C13" s="2" t="s">
        <v>30</v>
      </c>
      <c r="D13" s="2" t="s">
        <v>28</v>
      </c>
      <c r="E13" s="2" t="s">
        <v>24</v>
      </c>
      <c r="F13" s="15">
        <v>4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2">
        <v>1</v>
      </c>
      <c r="N13" s="2">
        <v>1</v>
      </c>
      <c r="O13" s="2"/>
      <c r="P13" s="11"/>
      <c r="Q13" s="9"/>
      <c r="R13" s="9"/>
    </row>
    <row r="14" spans="2:18" x14ac:dyDescent="0.35">
      <c r="B14" s="2" t="s">
        <v>21</v>
      </c>
      <c r="C14" s="2" t="s">
        <v>30</v>
      </c>
      <c r="D14" s="2" t="s">
        <v>28</v>
      </c>
      <c r="E14" s="2" t="s">
        <v>25</v>
      </c>
      <c r="F14" s="15">
        <v>4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2">
        <v>2</v>
      </c>
      <c r="N14" s="2">
        <v>2</v>
      </c>
      <c r="O14" s="2"/>
      <c r="P14" s="11"/>
      <c r="Q14" s="9"/>
      <c r="R14" s="9"/>
    </row>
    <row r="15" spans="2:18" x14ac:dyDescent="0.35">
      <c r="B15" s="2" t="s">
        <v>21</v>
      </c>
      <c r="C15" s="2" t="s">
        <v>31</v>
      </c>
      <c r="D15" s="2" t="s">
        <v>28</v>
      </c>
      <c r="E15" s="2" t="s">
        <v>24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2"/>
      <c r="N15" s="2"/>
      <c r="O15" s="2"/>
      <c r="P15" s="11"/>
      <c r="Q15" s="9"/>
      <c r="R15" s="9"/>
    </row>
    <row r="16" spans="2:18" x14ac:dyDescent="0.35">
      <c r="B16" s="2" t="s">
        <v>21</v>
      </c>
      <c r="C16" s="2" t="s">
        <v>31</v>
      </c>
      <c r="D16" s="2" t="s">
        <v>28</v>
      </c>
      <c r="E16" s="2" t="s">
        <v>25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2"/>
      <c r="N16" s="2"/>
      <c r="O16" s="2"/>
      <c r="P16" s="11"/>
      <c r="Q16" s="9"/>
      <c r="R16" s="9"/>
    </row>
    <row r="17" spans="2:18" x14ac:dyDescent="0.35">
      <c r="B17" s="2" t="s">
        <v>21</v>
      </c>
      <c r="C17" s="2" t="s">
        <v>32</v>
      </c>
      <c r="D17" s="2" t="s">
        <v>33</v>
      </c>
      <c r="E17" s="2" t="s">
        <v>24</v>
      </c>
      <c r="F17" s="15"/>
      <c r="G17" s="15">
        <v>0</v>
      </c>
      <c r="H17" s="15">
        <v>0</v>
      </c>
      <c r="I17" s="15">
        <v>7</v>
      </c>
      <c r="J17" s="15">
        <v>0</v>
      </c>
      <c r="K17" s="15">
        <v>7</v>
      </c>
      <c r="L17" s="15">
        <v>0</v>
      </c>
      <c r="M17" s="2"/>
      <c r="N17" s="2"/>
      <c r="O17" s="2"/>
      <c r="P17" s="11"/>
      <c r="Q17" s="9"/>
      <c r="R17" s="9"/>
    </row>
    <row r="18" spans="2:18" x14ac:dyDescent="0.35">
      <c r="B18" s="2" t="s">
        <v>21</v>
      </c>
      <c r="C18" s="2" t="s">
        <v>32</v>
      </c>
      <c r="D18" s="2" t="s">
        <v>33</v>
      </c>
      <c r="E18" s="2" t="s">
        <v>25</v>
      </c>
      <c r="F18" s="15"/>
      <c r="G18" s="15">
        <v>0</v>
      </c>
      <c r="H18" s="15">
        <v>0</v>
      </c>
      <c r="I18" s="15">
        <v>28</v>
      </c>
      <c r="J18" s="15">
        <v>0</v>
      </c>
      <c r="K18" s="15">
        <v>28</v>
      </c>
      <c r="L18" s="15">
        <v>0</v>
      </c>
      <c r="M18" s="2"/>
      <c r="N18" s="2"/>
      <c r="O18" s="2"/>
      <c r="P18" s="11"/>
      <c r="Q18" s="9"/>
      <c r="R18" s="9"/>
    </row>
    <row r="19" spans="2:18" x14ac:dyDescent="0.35">
      <c r="B19" s="2" t="s">
        <v>21</v>
      </c>
      <c r="C19" s="2" t="s">
        <v>34</v>
      </c>
      <c r="D19" s="2" t="s">
        <v>35</v>
      </c>
      <c r="E19" s="2" t="s">
        <v>24</v>
      </c>
      <c r="F19" s="15">
        <v>0</v>
      </c>
      <c r="G19" s="15">
        <v>0</v>
      </c>
      <c r="H19" s="15">
        <v>0</v>
      </c>
      <c r="I19" s="15"/>
      <c r="J19" s="15">
        <v>0</v>
      </c>
      <c r="K19" s="15"/>
      <c r="L19" s="15">
        <v>0</v>
      </c>
      <c r="M19" s="2"/>
      <c r="N19" s="2"/>
      <c r="O19" s="2"/>
      <c r="P19" s="11"/>
      <c r="Q19" s="9"/>
      <c r="R19" s="9"/>
    </row>
    <row r="20" spans="2:18" x14ac:dyDescent="0.35">
      <c r="B20" s="2" t="s">
        <v>21</v>
      </c>
      <c r="C20" s="2" t="s">
        <v>34</v>
      </c>
      <c r="D20" s="2" t="s">
        <v>35</v>
      </c>
      <c r="E20" s="2" t="s">
        <v>25</v>
      </c>
      <c r="F20" s="15">
        <v>0</v>
      </c>
      <c r="G20" s="15">
        <v>0</v>
      </c>
      <c r="H20" s="15">
        <v>0</v>
      </c>
      <c r="I20" s="15"/>
      <c r="J20" s="15">
        <v>0</v>
      </c>
      <c r="K20" s="15"/>
      <c r="L20" s="15">
        <v>0</v>
      </c>
      <c r="M20" s="2"/>
      <c r="N20" s="2"/>
      <c r="O20" s="2"/>
      <c r="P20" s="11"/>
      <c r="Q20" s="9"/>
      <c r="R20" s="9"/>
    </row>
    <row r="21" spans="2:18" x14ac:dyDescent="0.35">
      <c r="B21" s="2" t="s">
        <v>21</v>
      </c>
      <c r="C21" s="2" t="s">
        <v>36</v>
      </c>
      <c r="D21" s="2" t="s">
        <v>28</v>
      </c>
      <c r="E21" s="2" t="s">
        <v>24</v>
      </c>
      <c r="F21" s="15"/>
      <c r="G21" s="15">
        <v>0</v>
      </c>
      <c r="H21" s="15">
        <v>0</v>
      </c>
      <c r="I21" s="15">
        <v>7</v>
      </c>
      <c r="J21" s="15">
        <v>0</v>
      </c>
      <c r="K21" s="15">
        <v>7</v>
      </c>
      <c r="L21" s="15">
        <v>0</v>
      </c>
      <c r="M21" s="2"/>
      <c r="N21" s="2"/>
      <c r="O21" s="2"/>
      <c r="P21" s="11"/>
      <c r="Q21" s="9"/>
      <c r="R21" s="9"/>
    </row>
    <row r="22" spans="2:18" x14ac:dyDescent="0.35">
      <c r="B22" s="2" t="s">
        <v>21</v>
      </c>
      <c r="C22" s="2" t="s">
        <v>36</v>
      </c>
      <c r="D22" s="2" t="s">
        <v>28</v>
      </c>
      <c r="E22" s="2" t="s">
        <v>25</v>
      </c>
      <c r="F22" s="15"/>
      <c r="G22" s="15">
        <v>0</v>
      </c>
      <c r="H22" s="15">
        <v>0</v>
      </c>
      <c r="I22" s="15">
        <v>28</v>
      </c>
      <c r="J22" s="15">
        <v>0</v>
      </c>
      <c r="K22" s="15">
        <v>28</v>
      </c>
      <c r="L22" s="15">
        <v>0</v>
      </c>
      <c r="M22" s="2"/>
      <c r="N22" s="2"/>
      <c r="O22" s="2"/>
      <c r="P22" s="11"/>
      <c r="Q22" s="9"/>
      <c r="R22" s="9"/>
    </row>
    <row r="23" spans="2:18" x14ac:dyDescent="0.35">
      <c r="B23" s="2" t="s">
        <v>21</v>
      </c>
      <c r="C23" s="2" t="s">
        <v>37</v>
      </c>
      <c r="D23" s="2" t="s">
        <v>28</v>
      </c>
      <c r="E23" s="2" t="s">
        <v>24</v>
      </c>
      <c r="F23" s="15">
        <v>0</v>
      </c>
      <c r="G23" s="15">
        <v>0</v>
      </c>
      <c r="H23" s="15">
        <v>0</v>
      </c>
      <c r="I23" s="15"/>
      <c r="J23" s="15">
        <v>0</v>
      </c>
      <c r="K23" s="15"/>
      <c r="L23" s="15">
        <v>0</v>
      </c>
      <c r="M23" s="2"/>
      <c r="N23" s="2"/>
      <c r="O23" s="2"/>
      <c r="P23" s="11"/>
      <c r="Q23" s="9"/>
      <c r="R23" s="9"/>
    </row>
    <row r="24" spans="2:18" x14ac:dyDescent="0.35">
      <c r="B24" s="2" t="s">
        <v>21</v>
      </c>
      <c r="C24" s="2" t="s">
        <v>37</v>
      </c>
      <c r="D24" s="2" t="s">
        <v>28</v>
      </c>
      <c r="E24" s="2" t="s">
        <v>25</v>
      </c>
      <c r="F24" s="15">
        <v>0</v>
      </c>
      <c r="G24" s="15">
        <v>0</v>
      </c>
      <c r="H24" s="15">
        <v>0</v>
      </c>
      <c r="I24" s="15"/>
      <c r="J24" s="15">
        <v>0</v>
      </c>
      <c r="K24" s="15"/>
      <c r="L24" s="15">
        <v>0</v>
      </c>
      <c r="M24" s="2"/>
      <c r="N24" s="2"/>
      <c r="O24" s="2"/>
      <c r="P24" s="11"/>
      <c r="Q24" s="9"/>
      <c r="R24" s="9"/>
    </row>
    <row r="25" spans="2:18" x14ac:dyDescent="0.35">
      <c r="B25" s="2" t="s">
        <v>21</v>
      </c>
      <c r="C25" s="2" t="s">
        <v>38</v>
      </c>
      <c r="D25" s="2" t="s">
        <v>28</v>
      </c>
      <c r="E25" s="2" t="s">
        <v>24</v>
      </c>
      <c r="F25" s="15"/>
      <c r="G25" s="15">
        <v>0</v>
      </c>
      <c r="H25" s="15">
        <v>0</v>
      </c>
      <c r="I25" s="15">
        <v>7</v>
      </c>
      <c r="J25" s="15">
        <v>0</v>
      </c>
      <c r="K25" s="15">
        <v>7</v>
      </c>
      <c r="L25" s="15">
        <v>0</v>
      </c>
      <c r="M25" s="2"/>
      <c r="N25" s="2"/>
      <c r="O25" s="2"/>
      <c r="P25" s="11"/>
      <c r="Q25" s="9"/>
      <c r="R25" s="9"/>
    </row>
    <row r="26" spans="2:18" x14ac:dyDescent="0.35">
      <c r="B26" s="2" t="s">
        <v>21</v>
      </c>
      <c r="C26" s="2" t="s">
        <v>38</v>
      </c>
      <c r="D26" s="2" t="s">
        <v>28</v>
      </c>
      <c r="E26" s="2" t="s">
        <v>25</v>
      </c>
      <c r="F26" s="15"/>
      <c r="G26" s="15">
        <v>0</v>
      </c>
      <c r="H26" s="15">
        <v>0</v>
      </c>
      <c r="I26" s="15"/>
      <c r="J26" s="15">
        <v>0</v>
      </c>
      <c r="K26" s="15"/>
      <c r="L26" s="15">
        <v>0</v>
      </c>
      <c r="M26" s="2">
        <v>1</v>
      </c>
      <c r="N26" s="2">
        <v>0</v>
      </c>
      <c r="O26" s="2"/>
      <c r="P26" s="11"/>
      <c r="Q26" s="9"/>
      <c r="R26" s="9"/>
    </row>
    <row r="27" spans="2:18" x14ac:dyDescent="0.35">
      <c r="B27" s="2" t="s">
        <v>39</v>
      </c>
      <c r="C27" s="2" t="s">
        <v>40</v>
      </c>
      <c r="D27" s="2" t="s">
        <v>28</v>
      </c>
      <c r="E27" s="2" t="s">
        <v>24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2">
        <v>1</v>
      </c>
      <c r="N27" s="2">
        <v>0</v>
      </c>
      <c r="O27" s="2"/>
      <c r="P27" s="11"/>
      <c r="Q27" s="9"/>
      <c r="R27" s="9"/>
    </row>
    <row r="28" spans="2:18" x14ac:dyDescent="0.35">
      <c r="B28" s="2" t="s">
        <v>39</v>
      </c>
      <c r="C28" s="2" t="s">
        <v>40</v>
      </c>
      <c r="D28" s="2" t="s">
        <v>28</v>
      </c>
      <c r="E28" s="2" t="s">
        <v>25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2"/>
      <c r="N28" s="2"/>
      <c r="O28" s="2"/>
      <c r="P28" s="11"/>
      <c r="Q28" s="9"/>
      <c r="R28" s="9"/>
    </row>
    <row r="29" spans="2:18" x14ac:dyDescent="0.35">
      <c r="B29" s="2" t="s">
        <v>39</v>
      </c>
      <c r="C29" s="2" t="s">
        <v>41</v>
      </c>
      <c r="D29" s="2" t="s">
        <v>28</v>
      </c>
      <c r="E29" s="2" t="s">
        <v>24</v>
      </c>
      <c r="F29" s="15">
        <v>50</v>
      </c>
      <c r="G29" s="15">
        <v>0</v>
      </c>
      <c r="H29" s="15">
        <v>0</v>
      </c>
      <c r="I29" s="15">
        <v>7</v>
      </c>
      <c r="J29" s="15">
        <v>0</v>
      </c>
      <c r="K29" s="15">
        <v>7</v>
      </c>
      <c r="L29" s="15">
        <v>0</v>
      </c>
      <c r="M29" s="2"/>
      <c r="N29" s="2"/>
      <c r="O29" s="2"/>
      <c r="P29" s="11"/>
      <c r="Q29" s="9"/>
      <c r="R29" s="9"/>
    </row>
    <row r="30" spans="2:18" x14ac:dyDescent="0.35">
      <c r="B30" s="2" t="s">
        <v>39</v>
      </c>
      <c r="C30" s="2" t="s">
        <v>41</v>
      </c>
      <c r="D30" s="2" t="s">
        <v>28</v>
      </c>
      <c r="E30" s="2" t="s">
        <v>25</v>
      </c>
      <c r="F30" s="15">
        <v>49</v>
      </c>
      <c r="G30" s="15">
        <v>0</v>
      </c>
      <c r="H30" s="15">
        <v>0</v>
      </c>
      <c r="I30" s="15">
        <v>5</v>
      </c>
      <c r="J30" s="15">
        <v>0</v>
      </c>
      <c r="K30" s="15">
        <v>5</v>
      </c>
      <c r="L30" s="15">
        <v>0</v>
      </c>
      <c r="M30" s="2"/>
      <c r="N30" s="2"/>
      <c r="O30" s="2"/>
      <c r="P30" s="11"/>
      <c r="Q30" s="9"/>
      <c r="R30" s="9"/>
    </row>
    <row r="31" spans="2:18" x14ac:dyDescent="0.35">
      <c r="B31" s="2" t="s">
        <v>39</v>
      </c>
      <c r="C31" s="2" t="s">
        <v>42</v>
      </c>
      <c r="D31" s="2" t="s">
        <v>28</v>
      </c>
      <c r="E31" s="2" t="s">
        <v>24</v>
      </c>
      <c r="F31" s="15">
        <v>0</v>
      </c>
      <c r="G31" s="15">
        <v>0</v>
      </c>
      <c r="H31" s="15">
        <v>0</v>
      </c>
      <c r="I31" s="15">
        <v>36</v>
      </c>
      <c r="J31" s="15">
        <v>0</v>
      </c>
      <c r="K31" s="15">
        <v>36</v>
      </c>
      <c r="L31" s="15">
        <v>0</v>
      </c>
      <c r="M31" s="2"/>
      <c r="N31" s="2"/>
      <c r="O31" s="2"/>
      <c r="P31" s="11"/>
      <c r="Q31" s="9"/>
      <c r="R31" s="9"/>
    </row>
    <row r="32" spans="2:18" x14ac:dyDescent="0.35">
      <c r="B32" s="2" t="s">
        <v>39</v>
      </c>
      <c r="C32" s="2" t="s">
        <v>42</v>
      </c>
      <c r="D32" s="2" t="s">
        <v>28</v>
      </c>
      <c r="E32" s="2" t="s">
        <v>25</v>
      </c>
      <c r="F32" s="15">
        <v>1</v>
      </c>
      <c r="G32" s="15">
        <v>0</v>
      </c>
      <c r="H32" s="15">
        <v>0</v>
      </c>
      <c r="I32" s="15">
        <v>21</v>
      </c>
      <c r="J32" s="15">
        <v>0</v>
      </c>
      <c r="K32" s="15">
        <v>21</v>
      </c>
      <c r="L32" s="15">
        <v>0</v>
      </c>
      <c r="M32" s="2"/>
      <c r="N32" s="2"/>
      <c r="O32" s="2"/>
      <c r="P32" s="11"/>
      <c r="Q32" s="9"/>
      <c r="R32" s="9"/>
    </row>
    <row r="33" spans="2:18" x14ac:dyDescent="0.35">
      <c r="B33" s="2" t="s">
        <v>39</v>
      </c>
      <c r="C33" s="2" t="s">
        <v>43</v>
      </c>
      <c r="D33" s="2" t="s">
        <v>28</v>
      </c>
      <c r="E33" s="2" t="s">
        <v>24</v>
      </c>
      <c r="F33" s="15">
        <v>3</v>
      </c>
      <c r="G33" s="15">
        <v>0</v>
      </c>
      <c r="H33" s="15">
        <v>0</v>
      </c>
      <c r="I33" s="15">
        <v>2</v>
      </c>
      <c r="J33" s="15">
        <v>0</v>
      </c>
      <c r="K33" s="15">
        <v>2</v>
      </c>
      <c r="L33" s="15">
        <v>0</v>
      </c>
      <c r="M33" s="2"/>
      <c r="N33" s="2"/>
      <c r="O33" s="2"/>
      <c r="P33" s="11"/>
      <c r="Q33" s="9"/>
      <c r="R33" s="9"/>
    </row>
    <row r="34" spans="2:18" x14ac:dyDescent="0.35">
      <c r="B34" s="2" t="s">
        <v>39</v>
      </c>
      <c r="C34" s="2" t="s">
        <v>43</v>
      </c>
      <c r="D34" s="2" t="s">
        <v>28</v>
      </c>
      <c r="E34" s="2" t="s">
        <v>25</v>
      </c>
      <c r="F34" s="15">
        <v>4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2"/>
      <c r="N34" s="2"/>
      <c r="O34" s="2"/>
      <c r="P34" s="11"/>
      <c r="Q34" s="9"/>
      <c r="R34" s="9"/>
    </row>
    <row r="35" spans="2:18" x14ac:dyDescent="0.35">
      <c r="B35" s="2" t="s">
        <v>39</v>
      </c>
      <c r="C35" s="2" t="s">
        <v>44</v>
      </c>
      <c r="D35" s="2" t="s">
        <v>28</v>
      </c>
      <c r="E35" s="2" t="s">
        <v>24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2"/>
      <c r="N35" s="2"/>
      <c r="O35" s="2"/>
      <c r="P35" s="11"/>
      <c r="Q35" s="9"/>
      <c r="R35" s="9"/>
    </row>
    <row r="36" spans="2:18" x14ac:dyDescent="0.35">
      <c r="B36" s="2" t="s">
        <v>39</v>
      </c>
      <c r="C36" s="2" t="s">
        <v>44</v>
      </c>
      <c r="D36" s="2" t="s">
        <v>28</v>
      </c>
      <c r="E36" s="2" t="s">
        <v>25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2"/>
      <c r="N36" s="2"/>
      <c r="O36" s="2"/>
      <c r="P36" s="11"/>
      <c r="Q36" s="9"/>
      <c r="R36" s="9"/>
    </row>
    <row r="37" spans="2:18" x14ac:dyDescent="0.35">
      <c r="B37" s="2" t="s">
        <v>39</v>
      </c>
      <c r="C37" s="2" t="s">
        <v>45</v>
      </c>
      <c r="D37" s="2" t="s">
        <v>28</v>
      </c>
      <c r="E37" s="2" t="s">
        <v>24</v>
      </c>
      <c r="F37" s="15" t="s">
        <v>46</v>
      </c>
      <c r="G37" s="15">
        <v>0</v>
      </c>
      <c r="H37" s="15">
        <v>0</v>
      </c>
      <c r="I37" s="15" t="s">
        <v>46</v>
      </c>
      <c r="J37" s="15">
        <v>0</v>
      </c>
      <c r="K37" s="15" t="s">
        <v>46</v>
      </c>
      <c r="L37" s="15">
        <v>0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46</v>
      </c>
    </row>
    <row r="38" spans="2:18" x14ac:dyDescent="0.35">
      <c r="B38" s="2" t="s">
        <v>39</v>
      </c>
      <c r="C38" s="2" t="s">
        <v>45</v>
      </c>
      <c r="D38" s="2" t="s">
        <v>28</v>
      </c>
      <c r="E38" s="2" t="s">
        <v>25</v>
      </c>
      <c r="F38" s="15" t="s">
        <v>46</v>
      </c>
      <c r="G38" s="15">
        <v>0</v>
      </c>
      <c r="H38" s="15">
        <v>0</v>
      </c>
      <c r="I38" s="15" t="s">
        <v>46</v>
      </c>
      <c r="J38" s="15">
        <v>0</v>
      </c>
      <c r="K38" s="15" t="s">
        <v>46</v>
      </c>
      <c r="L38" s="15">
        <v>0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46</v>
      </c>
    </row>
    <row r="39" spans="2:18" x14ac:dyDescent="0.35">
      <c r="B39" s="2" t="s">
        <v>39</v>
      </c>
      <c r="C39" s="2" t="s">
        <v>47</v>
      </c>
      <c r="D39" s="2" t="s">
        <v>28</v>
      </c>
      <c r="E39" s="2" t="s">
        <v>24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2"/>
      <c r="N39" s="2"/>
      <c r="O39" s="2"/>
      <c r="P39" s="11"/>
      <c r="Q39" s="9"/>
      <c r="R39" s="9"/>
    </row>
    <row r="40" spans="2:18" x14ac:dyDescent="0.35">
      <c r="B40" s="2" t="s">
        <v>39</v>
      </c>
      <c r="C40" s="2" t="s">
        <v>47</v>
      </c>
      <c r="D40" s="2" t="s">
        <v>28</v>
      </c>
      <c r="E40" s="2" t="s">
        <v>25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</row>
    <row r="41" spans="2:18" x14ac:dyDescent="0.35">
      <c r="B41" s="2" t="s">
        <v>39</v>
      </c>
      <c r="C41" s="2" t="s">
        <v>48</v>
      </c>
      <c r="D41" s="2" t="s">
        <v>28</v>
      </c>
      <c r="E41" s="2" t="s">
        <v>24</v>
      </c>
      <c r="F41" s="15">
        <v>10</v>
      </c>
      <c r="G41" s="15">
        <v>0</v>
      </c>
      <c r="H41" s="15">
        <v>0</v>
      </c>
      <c r="I41" s="15">
        <v>20</v>
      </c>
      <c r="J41" s="15">
        <v>0</v>
      </c>
      <c r="K41" s="15">
        <v>20</v>
      </c>
      <c r="L41" s="15">
        <v>0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46</v>
      </c>
    </row>
    <row r="42" spans="2:18" x14ac:dyDescent="0.35">
      <c r="B42" s="2" t="s">
        <v>39</v>
      </c>
      <c r="C42" s="2" t="s">
        <v>48</v>
      </c>
      <c r="D42" s="2" t="s">
        <v>28</v>
      </c>
      <c r="E42" s="2" t="s">
        <v>25</v>
      </c>
      <c r="F42" s="15">
        <v>2</v>
      </c>
      <c r="G42" s="15">
        <v>0</v>
      </c>
      <c r="H42" s="15">
        <v>0</v>
      </c>
      <c r="I42" s="15">
        <v>19</v>
      </c>
      <c r="J42" s="15">
        <v>0</v>
      </c>
      <c r="K42" s="15">
        <v>19</v>
      </c>
      <c r="L42" s="15">
        <v>0</v>
      </c>
      <c r="M42" s="2" t="s">
        <v>46</v>
      </c>
      <c r="N42" s="2" t="s">
        <v>46</v>
      </c>
      <c r="O42" s="2" t="s">
        <v>46</v>
      </c>
      <c r="P42" s="2" t="s">
        <v>46</v>
      </c>
      <c r="Q42" s="2" t="s">
        <v>46</v>
      </c>
      <c r="R42" s="2" t="s">
        <v>46</v>
      </c>
    </row>
    <row r="43" spans="2:18" x14ac:dyDescent="0.35">
      <c r="B43" s="2" t="s">
        <v>39</v>
      </c>
      <c r="C43" s="2" t="s">
        <v>49</v>
      </c>
      <c r="D43" s="2" t="s">
        <v>28</v>
      </c>
      <c r="E43" s="2" t="s">
        <v>24</v>
      </c>
      <c r="F43" s="15">
        <v>1</v>
      </c>
      <c r="G43" s="15">
        <v>0</v>
      </c>
      <c r="H43" s="15">
        <v>0</v>
      </c>
      <c r="I43" s="15">
        <v>7</v>
      </c>
      <c r="J43" s="15">
        <v>0</v>
      </c>
      <c r="K43" s="15">
        <v>7</v>
      </c>
      <c r="L43" s="15">
        <v>0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46</v>
      </c>
    </row>
    <row r="44" spans="2:18" x14ac:dyDescent="0.35">
      <c r="B44" s="2" t="s">
        <v>39</v>
      </c>
      <c r="C44" s="2" t="s">
        <v>49</v>
      </c>
      <c r="D44" s="2" t="s">
        <v>28</v>
      </c>
      <c r="E44" s="2" t="s">
        <v>25</v>
      </c>
      <c r="F44" s="15">
        <v>3</v>
      </c>
      <c r="G44" s="15">
        <v>0</v>
      </c>
      <c r="H44" s="15">
        <v>0</v>
      </c>
      <c r="I44" s="15">
        <v>2</v>
      </c>
      <c r="J44" s="15">
        <v>0</v>
      </c>
      <c r="K44" s="15">
        <v>2</v>
      </c>
      <c r="L44" s="15">
        <v>0</v>
      </c>
      <c r="M44" s="2" t="s">
        <v>46</v>
      </c>
      <c r="N44" s="2" t="s">
        <v>46</v>
      </c>
      <c r="O44" s="2" t="s">
        <v>46</v>
      </c>
      <c r="P44" s="2" t="s">
        <v>46</v>
      </c>
      <c r="Q44" s="2" t="s">
        <v>46</v>
      </c>
      <c r="R44" s="2" t="s">
        <v>46</v>
      </c>
    </row>
    <row r="45" spans="2:18" x14ac:dyDescent="0.35">
      <c r="B45" s="2" t="s">
        <v>39</v>
      </c>
      <c r="C45" s="2" t="s">
        <v>50</v>
      </c>
      <c r="D45" s="2" t="s">
        <v>28</v>
      </c>
      <c r="E45" s="2" t="s">
        <v>24</v>
      </c>
      <c r="F45" s="15">
        <v>1</v>
      </c>
      <c r="G45" s="15">
        <v>0</v>
      </c>
      <c r="H45" s="15">
        <v>0</v>
      </c>
      <c r="I45" s="15">
        <v>30</v>
      </c>
      <c r="J45" s="15">
        <v>0</v>
      </c>
      <c r="K45" s="15">
        <v>30</v>
      </c>
      <c r="L45" s="15">
        <v>0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46</v>
      </c>
    </row>
    <row r="46" spans="2:18" x14ac:dyDescent="0.35">
      <c r="B46" s="2" t="s">
        <v>39</v>
      </c>
      <c r="C46" s="2" t="s">
        <v>50</v>
      </c>
      <c r="D46" s="2" t="s">
        <v>28</v>
      </c>
      <c r="E46" s="2" t="s">
        <v>25</v>
      </c>
      <c r="F46" s="15">
        <v>1</v>
      </c>
      <c r="G46" s="15">
        <v>0</v>
      </c>
      <c r="H46" s="15">
        <v>0</v>
      </c>
      <c r="I46" s="15">
        <v>34</v>
      </c>
      <c r="J46" s="15">
        <v>0</v>
      </c>
      <c r="K46" s="15">
        <v>34</v>
      </c>
      <c r="L46" s="15">
        <v>0</v>
      </c>
      <c r="M46" s="2" t="s">
        <v>46</v>
      </c>
      <c r="N46" s="2" t="s">
        <v>46</v>
      </c>
      <c r="O46" s="2" t="s">
        <v>46</v>
      </c>
      <c r="P46" s="2" t="s">
        <v>46</v>
      </c>
      <c r="Q46" s="2" t="s">
        <v>46</v>
      </c>
      <c r="R46" s="2" t="s">
        <v>46</v>
      </c>
    </row>
    <row r="47" spans="2:18" x14ac:dyDescent="0.35">
      <c r="B47" s="2" t="s">
        <v>39</v>
      </c>
      <c r="C47" s="2" t="s">
        <v>51</v>
      </c>
      <c r="D47" s="2" t="s">
        <v>28</v>
      </c>
      <c r="E47" s="2" t="s">
        <v>24</v>
      </c>
      <c r="F47" s="15">
        <v>0</v>
      </c>
      <c r="G47" s="15">
        <v>0</v>
      </c>
      <c r="H47" s="15">
        <v>0</v>
      </c>
      <c r="I47" s="15">
        <v>20</v>
      </c>
      <c r="J47" s="15">
        <v>0</v>
      </c>
      <c r="K47" s="15">
        <v>20</v>
      </c>
      <c r="L47" s="15">
        <v>0</v>
      </c>
      <c r="M47" s="2"/>
      <c r="N47" s="2"/>
      <c r="O47" s="2"/>
      <c r="P47" s="11"/>
      <c r="Q47" s="9"/>
      <c r="R47" s="9"/>
    </row>
    <row r="48" spans="2:18" x14ac:dyDescent="0.35">
      <c r="B48" s="2" t="s">
        <v>39</v>
      </c>
      <c r="C48" s="2" t="s">
        <v>51</v>
      </c>
      <c r="D48" s="2" t="s">
        <v>28</v>
      </c>
      <c r="E48" s="2" t="s">
        <v>25</v>
      </c>
      <c r="F48" s="15">
        <v>0</v>
      </c>
      <c r="G48" s="15">
        <v>0</v>
      </c>
      <c r="H48" s="15">
        <v>0</v>
      </c>
      <c r="I48" s="15">
        <v>25</v>
      </c>
      <c r="J48" s="15">
        <v>0</v>
      </c>
      <c r="K48" s="15">
        <v>25</v>
      </c>
      <c r="L48" s="15">
        <v>0</v>
      </c>
      <c r="M48" s="2"/>
      <c r="N48" s="2"/>
      <c r="O48" s="2"/>
      <c r="P48" s="11"/>
      <c r="Q48" s="9"/>
      <c r="R48" s="9"/>
    </row>
    <row r="49" spans="2:18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11"/>
      <c r="Q49" s="9"/>
      <c r="R49" s="9"/>
    </row>
    <row r="50" spans="2:18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11"/>
      <c r="Q50" s="9"/>
      <c r="R50" s="9"/>
    </row>
    <row r="51" spans="2:18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11"/>
      <c r="Q51" s="9"/>
      <c r="R51" s="9"/>
    </row>
    <row r="52" spans="2:18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11"/>
      <c r="Q52" s="9"/>
      <c r="R52" s="9"/>
    </row>
    <row r="53" spans="2:18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11"/>
      <c r="Q53" s="9"/>
      <c r="R53" s="9"/>
    </row>
    <row r="54" spans="2:18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11"/>
      <c r="Q54" s="9"/>
      <c r="R54" s="9"/>
    </row>
    <row r="55" spans="2:18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11"/>
      <c r="Q55" s="9"/>
      <c r="R55" s="9"/>
    </row>
    <row r="56" spans="2:18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11"/>
      <c r="Q56" s="9"/>
      <c r="R56" s="9"/>
    </row>
    <row r="57" spans="2:18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1"/>
      <c r="Q57" s="9"/>
      <c r="R57" s="9"/>
    </row>
    <row r="58" spans="2:18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1"/>
      <c r="Q58" s="9"/>
      <c r="R58" s="9"/>
    </row>
    <row r="59" spans="2:18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1"/>
      <c r="Q59" s="9"/>
      <c r="R59" s="9"/>
    </row>
    <row r="60" spans="2:18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1"/>
      <c r="Q60" s="9"/>
      <c r="R60" s="9"/>
    </row>
    <row r="61" spans="2:18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1"/>
      <c r="Q61" s="9"/>
      <c r="R61" s="9"/>
    </row>
    <row r="62" spans="2:18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1"/>
      <c r="Q62" s="9"/>
      <c r="R62" s="9"/>
    </row>
    <row r="63" spans="2:18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1"/>
      <c r="Q63" s="9"/>
      <c r="R63" s="9"/>
    </row>
    <row r="64" spans="2:18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1"/>
      <c r="Q64" s="9"/>
      <c r="R64" s="9"/>
    </row>
    <row r="65" spans="2:18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1"/>
      <c r="Q65" s="9"/>
      <c r="R65" s="9"/>
    </row>
    <row r="66" spans="2:18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1"/>
      <c r="Q66" s="9"/>
      <c r="R66" s="9"/>
    </row>
    <row r="67" spans="2:18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1"/>
      <c r="Q67" s="9"/>
      <c r="R67" s="9"/>
    </row>
    <row r="68" spans="2:18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1"/>
      <c r="Q68" s="9"/>
      <c r="R68" s="9"/>
    </row>
    <row r="69" spans="2:18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1"/>
      <c r="Q69" s="9"/>
      <c r="R69" s="9"/>
    </row>
    <row r="70" spans="2:18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1"/>
      <c r="Q70" s="9"/>
      <c r="R70" s="9"/>
    </row>
    <row r="71" spans="2:18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1"/>
      <c r="Q71" s="9"/>
      <c r="R71" s="9"/>
    </row>
    <row r="72" spans="2:18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1"/>
      <c r="Q72" s="9"/>
      <c r="R72" s="9"/>
    </row>
    <row r="73" spans="2:18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1"/>
      <c r="Q73" s="9"/>
      <c r="R73" s="9"/>
    </row>
    <row r="74" spans="2:18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1"/>
      <c r="Q74" s="9"/>
      <c r="R74" s="9"/>
    </row>
    <row r="75" spans="2:18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1"/>
      <c r="Q75" s="9"/>
      <c r="R75" s="9"/>
    </row>
    <row r="76" spans="2:18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1"/>
      <c r="Q76" s="9"/>
      <c r="R76" s="9"/>
    </row>
    <row r="77" spans="2:18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1"/>
      <c r="Q77" s="9"/>
      <c r="R77" s="9"/>
    </row>
    <row r="78" spans="2:18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1"/>
      <c r="Q78" s="9"/>
      <c r="R78" s="9"/>
    </row>
    <row r="79" spans="2:18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1"/>
      <c r="Q79" s="9"/>
      <c r="R79" s="9"/>
    </row>
    <row r="80" spans="2:18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1"/>
      <c r="Q80" s="9"/>
      <c r="R80" s="9"/>
    </row>
    <row r="81" spans="2:18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1"/>
      <c r="Q81" s="9"/>
      <c r="R81" s="9"/>
    </row>
    <row r="82" spans="2:18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1"/>
      <c r="Q82" s="9"/>
      <c r="R82" s="9"/>
    </row>
    <row r="83" spans="2:18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1"/>
      <c r="Q83" s="9"/>
      <c r="R83" s="9"/>
    </row>
    <row r="84" spans="2:18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1"/>
      <c r="Q84" s="9"/>
      <c r="R84" s="9"/>
    </row>
    <row r="85" spans="2:18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1"/>
      <c r="Q85" s="9"/>
      <c r="R85" s="9"/>
    </row>
    <row r="86" spans="2:18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1"/>
      <c r="Q86" s="9"/>
      <c r="R86" s="9"/>
    </row>
    <row r="87" spans="2:18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1"/>
      <c r="Q87" s="9"/>
      <c r="R87" s="9"/>
    </row>
    <row r="88" spans="2:18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1"/>
      <c r="Q88" s="9"/>
      <c r="R88" s="9"/>
    </row>
    <row r="89" spans="2:18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1"/>
      <c r="Q89" s="9"/>
      <c r="R89" s="9"/>
    </row>
    <row r="90" spans="2:18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1"/>
      <c r="Q90" s="9"/>
      <c r="R90" s="9"/>
    </row>
    <row r="91" spans="2:18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1"/>
      <c r="Q91" s="9"/>
      <c r="R91" s="9"/>
    </row>
    <row r="92" spans="2:18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1"/>
      <c r="Q92" s="9"/>
      <c r="R92" s="9"/>
    </row>
    <row r="93" spans="2:18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1"/>
      <c r="Q93" s="9"/>
      <c r="R93" s="9"/>
    </row>
    <row r="94" spans="2:18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1"/>
      <c r="Q94" s="9"/>
      <c r="R94" s="9"/>
    </row>
    <row r="95" spans="2:18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1"/>
      <c r="Q95" s="9"/>
      <c r="R95" s="9"/>
    </row>
    <row r="96" spans="2:18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1"/>
      <c r="Q96" s="9"/>
      <c r="R96" s="9"/>
    </row>
    <row r="97" spans="2:18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1"/>
      <c r="Q97" s="9"/>
      <c r="R97" s="9"/>
    </row>
    <row r="98" spans="2:18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1"/>
      <c r="Q98" s="9"/>
      <c r="R98" s="9"/>
    </row>
    <row r="99" spans="2:18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11"/>
      <c r="Q99" s="9"/>
      <c r="R99" s="9"/>
    </row>
    <row r="100" spans="2:18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11"/>
      <c r="Q100" s="9"/>
      <c r="R100" s="9"/>
    </row>
    <row r="101" spans="2:18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11"/>
      <c r="Q101" s="9"/>
      <c r="R101" s="9"/>
    </row>
    <row r="102" spans="2:18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11"/>
      <c r="Q102" s="9"/>
      <c r="R102" s="9"/>
    </row>
    <row r="103" spans="2:18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1"/>
      <c r="Q103" s="9"/>
      <c r="R103" s="9"/>
    </row>
    <row r="104" spans="2:18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1"/>
      <c r="Q104" s="9"/>
      <c r="R104" s="9"/>
    </row>
    <row r="105" spans="2:18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1"/>
      <c r="Q105" s="9"/>
      <c r="R105" s="9"/>
    </row>
    <row r="106" spans="2:18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11"/>
      <c r="Q106" s="9"/>
      <c r="R106" s="9"/>
    </row>
    <row r="107" spans="2:18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11"/>
      <c r="Q107" s="9"/>
      <c r="R107" s="9"/>
    </row>
    <row r="108" spans="2:18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11"/>
      <c r="Q108" s="9"/>
      <c r="R108" s="9"/>
    </row>
    <row r="109" spans="2:18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11"/>
      <c r="Q109" s="9"/>
      <c r="R109" s="9"/>
    </row>
    <row r="110" spans="2:18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1"/>
      <c r="Q110" s="9"/>
      <c r="R110" s="9"/>
    </row>
    <row r="111" spans="2:18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11"/>
      <c r="Q111" s="9"/>
      <c r="R111" s="9"/>
    </row>
    <row r="112" spans="2:18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11"/>
      <c r="Q112" s="9"/>
      <c r="R112" s="9"/>
    </row>
    <row r="113" spans="2:18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11"/>
      <c r="Q113" s="9"/>
      <c r="R113" s="9"/>
    </row>
    <row r="114" spans="2:18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2:18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2:18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2:18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2:18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2:18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2:18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2:18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2:18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2:18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2:18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2:18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2:18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2:18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2:18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2:16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2:16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2:16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2:16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2:16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2:16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2:16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2:16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2:16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2:16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2:16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2:16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2:16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2:16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2:16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2:16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2:16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2:16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2:16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2:16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2:16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2:16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2:16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2:16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2:16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2:16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2:16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2:16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2:16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2:16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2:16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2:16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2:16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2:16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2:16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2:16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2:16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2:16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2:16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2:16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2:16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2:16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2:16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2:16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2:16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2:16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2:16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2:16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2:16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2:16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2:16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2:16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2:16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2:16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2:16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2:16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2:16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2:16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2:16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2:16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2:16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2:16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2:16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2:16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2:16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2:16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2:16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2:16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2:16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2:16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2:16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2:16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2:16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2:16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2:16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2:16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2:16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2:16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2:16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2:16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2:16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2:16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2:16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2:16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2:16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2:16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2:16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2:16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2:16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2:16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2:16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2:16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2:16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2:16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2:16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2:16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2:16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2:16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2:16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2:16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2:16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2:16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2:16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2:16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2:16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2:16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2:16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2:16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2:16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2:16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2:16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2:16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2:16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2:16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2:16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2:16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2:16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2:16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2:16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2:16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2:16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2:16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2:16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2:16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2:16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2:16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2:16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2:16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2:16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2:16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2:16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2:16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2:16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2:16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2:16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2:16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2:16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2:16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2:16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2:16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2:16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2:16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2:16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2:16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2:16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2:16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2:16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2:16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2:16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2:16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2:16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2:16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2:16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2:16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2:16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2:16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2:16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2:16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2:16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2:16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2:16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2:16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2:16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2:16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2:16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2:16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2:16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2:16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2:16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2:16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2:16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2:16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2:16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2:16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2:16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2:16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2:16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2:16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2:16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2:16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2:16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2:16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2:16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2:16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2:16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2:16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2:16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2:16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2:16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2:16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2:16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2:16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2:16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2:16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2:16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2:16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2:16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2:16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2:16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2:16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2:16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2:16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2:16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2:16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2:16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2:16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2:16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2:16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2:16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2:16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2:16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2:16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2:16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2:16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2:16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2:16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2:16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2:16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2:16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2:16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2:16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2:16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2:16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2:16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2:16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2:16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2:16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2:16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2:16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2:16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2:16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2:16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2:16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2:16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2:16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2:16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2:16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2:16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2:16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2:16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2:16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2:16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2:16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2:16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2:16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2:16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2:16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2:16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2:16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2:16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2:16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2:16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2:16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2:16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2:16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2:16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2:16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2:16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2:16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2:16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2:16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2:16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2:16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2:16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2:16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2:16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2:16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2:16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2:16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2:16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2:16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2:16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2:16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2:16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2:16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2:16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2:16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2:16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2:16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2:16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2:16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2:16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2:16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2:16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2:16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2:16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2:16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2:16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2:16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2:16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2:16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2:16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2:16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2:16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2:16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</sheetData>
  <autoFilter ref="B4:R48" xr:uid="{00000000-0001-0000-0000-000000000000}"/>
  <mergeCells count="4">
    <mergeCell ref="F3:H3"/>
    <mergeCell ref="I3:L3"/>
    <mergeCell ref="M3:P3"/>
    <mergeCell ref="Q3:R3"/>
  </mergeCells>
  <phoneticPr fontId="3" type="noConversion"/>
  <dataValidations count="2">
    <dataValidation type="list" allowBlank="1" showInputMessage="1" showErrorMessage="1" sqref="B5:B600" xr:uid="{B34CFA1A-A913-41A5-B9D1-B0874BE3803A}">
      <formula1>"Aviation, Castrol, CRM"</formula1>
    </dataValidation>
    <dataValidation type="list" allowBlank="1" showInputMessage="1" showErrorMessage="1" sqref="E5:E300" xr:uid="{A3677B7D-685D-4551-B49C-34975DFFE48B}">
      <formula1>"January, February"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46B9-C110-46E9-9309-32BA9BA7BACA}">
  <sheetPr>
    <tabColor theme="9" tint="0.39997558519241921"/>
  </sheetPr>
  <dimension ref="B1:O421"/>
  <sheetViews>
    <sheetView showGridLines="0" workbookViewId="0">
      <pane ySplit="4" topLeftCell="A5" activePane="bottomLeft" state="frozen"/>
      <selection pane="bottomLeft" activeCell="G32" sqref="G32"/>
    </sheetView>
  </sheetViews>
  <sheetFormatPr defaultRowHeight="15" customHeight="1" x14ac:dyDescent="0.35"/>
  <cols>
    <col min="1" max="1" width="2.7265625" customWidth="1"/>
    <col min="2" max="2" width="9.1796875" customWidth="1"/>
    <col min="3" max="3" width="22.54296875" bestFit="1" customWidth="1"/>
    <col min="4" max="4" width="9.453125" customWidth="1"/>
    <col min="5" max="5" width="12.81640625" customWidth="1"/>
    <col min="6" max="14" width="12" customWidth="1"/>
  </cols>
  <sheetData>
    <row r="1" spans="2:14" ht="13" customHeight="1" x14ac:dyDescent="0.35"/>
    <row r="3" spans="2:14" ht="14.5" x14ac:dyDescent="0.35">
      <c r="B3" s="2"/>
      <c r="C3" s="2"/>
      <c r="D3" s="2"/>
      <c r="E3" s="2"/>
      <c r="F3" s="31" t="s">
        <v>52</v>
      </c>
      <c r="G3" s="31"/>
      <c r="H3" s="32" t="s">
        <v>53</v>
      </c>
      <c r="I3" s="32"/>
      <c r="J3" s="32"/>
      <c r="K3" s="27" t="s">
        <v>54</v>
      </c>
      <c r="L3" s="27"/>
      <c r="M3" s="27"/>
      <c r="N3" s="27"/>
    </row>
    <row r="4" spans="2:14" s="1" customFormat="1" ht="72" x14ac:dyDescent="0.35">
      <c r="B4" s="3" t="s">
        <v>4</v>
      </c>
      <c r="C4" s="3" t="s">
        <v>5</v>
      </c>
      <c r="D4" s="3" t="s">
        <v>6</v>
      </c>
      <c r="E4" s="3" t="s">
        <v>7</v>
      </c>
      <c r="F4" s="7" t="s">
        <v>55</v>
      </c>
      <c r="G4" s="7" t="s">
        <v>56</v>
      </c>
      <c r="H4" s="8" t="s">
        <v>57</v>
      </c>
      <c r="I4" s="8" t="s">
        <v>58</v>
      </c>
      <c r="J4" s="8" t="s">
        <v>59</v>
      </c>
      <c r="K4" s="6" t="s">
        <v>60</v>
      </c>
      <c r="L4" s="6" t="s">
        <v>61</v>
      </c>
      <c r="M4" s="6" t="s">
        <v>62</v>
      </c>
      <c r="N4" s="6" t="s">
        <v>63</v>
      </c>
    </row>
    <row r="5" spans="2:14" ht="14.5" x14ac:dyDescent="0.35">
      <c r="B5" s="2" t="s">
        <v>21</v>
      </c>
      <c r="C5" s="2" t="s">
        <v>22</v>
      </c>
      <c r="D5" s="2" t="s">
        <v>23</v>
      </c>
      <c r="E5" s="2" t="s">
        <v>24</v>
      </c>
      <c r="F5" s="13">
        <f>10/13</f>
        <v>0.76923076923076927</v>
      </c>
      <c r="G5" s="13">
        <f>42/56</f>
        <v>0.75</v>
      </c>
      <c r="H5" s="13">
        <v>1</v>
      </c>
      <c r="I5" s="2">
        <v>0</v>
      </c>
      <c r="J5" s="13">
        <v>0.81</v>
      </c>
      <c r="K5" s="13">
        <v>0</v>
      </c>
      <c r="L5" s="13">
        <v>0</v>
      </c>
      <c r="M5" s="13">
        <v>0</v>
      </c>
      <c r="N5" s="2" t="s">
        <v>46</v>
      </c>
    </row>
    <row r="6" spans="2:14" ht="14.5" x14ac:dyDescent="0.35">
      <c r="B6" s="2" t="s">
        <v>21</v>
      </c>
      <c r="C6" s="2" t="s">
        <v>22</v>
      </c>
      <c r="D6" s="2" t="s">
        <v>23</v>
      </c>
      <c r="E6" s="2" t="s">
        <v>25</v>
      </c>
      <c r="F6" s="13">
        <f>11/10</f>
        <v>1.1000000000000001</v>
      </c>
      <c r="G6" s="13">
        <f>72/72</f>
        <v>1</v>
      </c>
      <c r="H6" s="13">
        <v>1</v>
      </c>
      <c r="I6" s="2">
        <v>0</v>
      </c>
      <c r="J6" s="13">
        <v>0.85499999999999998</v>
      </c>
      <c r="K6" s="13">
        <v>0</v>
      </c>
      <c r="L6" s="13">
        <v>0</v>
      </c>
      <c r="M6" s="13">
        <v>0</v>
      </c>
      <c r="N6" s="2" t="s">
        <v>46</v>
      </c>
    </row>
    <row r="7" spans="2:14" ht="14.5" x14ac:dyDescent="0.35">
      <c r="B7" s="2" t="s">
        <v>21</v>
      </c>
      <c r="C7" s="2" t="s">
        <v>26</v>
      </c>
      <c r="D7" s="2" t="s">
        <v>23</v>
      </c>
      <c r="E7" s="2" t="s">
        <v>24</v>
      </c>
      <c r="F7" s="13">
        <v>1</v>
      </c>
      <c r="G7" s="13" t="s">
        <v>64</v>
      </c>
      <c r="H7" s="13">
        <v>1</v>
      </c>
      <c r="I7" s="2">
        <v>0</v>
      </c>
      <c r="J7" s="13" t="s">
        <v>46</v>
      </c>
      <c r="K7" s="13">
        <v>0</v>
      </c>
      <c r="L7" s="13">
        <v>0</v>
      </c>
      <c r="M7" s="13">
        <v>0</v>
      </c>
      <c r="N7" s="2" t="s">
        <v>46</v>
      </c>
    </row>
    <row r="8" spans="2:14" ht="14.5" x14ac:dyDescent="0.35">
      <c r="B8" s="2" t="s">
        <v>21</v>
      </c>
      <c r="C8" s="2" t="s">
        <v>26</v>
      </c>
      <c r="D8" s="2" t="s">
        <v>23</v>
      </c>
      <c r="E8" s="2" t="s">
        <v>25</v>
      </c>
      <c r="F8" s="13">
        <v>1</v>
      </c>
      <c r="G8" s="13" t="s">
        <v>64</v>
      </c>
      <c r="H8" s="13">
        <v>1</v>
      </c>
      <c r="I8" s="2">
        <v>0</v>
      </c>
      <c r="J8" s="13" t="s">
        <v>46</v>
      </c>
      <c r="K8" s="13">
        <v>0</v>
      </c>
      <c r="L8" s="13">
        <v>0</v>
      </c>
      <c r="M8" s="13">
        <v>0</v>
      </c>
      <c r="N8" s="2" t="s">
        <v>46</v>
      </c>
    </row>
    <row r="9" spans="2:14" ht="14.5" x14ac:dyDescent="0.35">
      <c r="B9" s="2" t="s">
        <v>21</v>
      </c>
      <c r="C9" s="2" t="s">
        <v>27</v>
      </c>
      <c r="D9" s="2" t="s">
        <v>28</v>
      </c>
      <c r="E9" s="2" t="s">
        <v>24</v>
      </c>
      <c r="F9" s="13"/>
      <c r="G9" s="13"/>
      <c r="H9" s="13"/>
      <c r="I9" s="2"/>
      <c r="J9" s="13" t="s">
        <v>46</v>
      </c>
      <c r="K9" s="13">
        <v>0</v>
      </c>
      <c r="L9" s="13">
        <v>0</v>
      </c>
      <c r="M9" s="13">
        <v>0</v>
      </c>
      <c r="N9" s="2" t="s">
        <v>46</v>
      </c>
    </row>
    <row r="10" spans="2:14" ht="14.5" x14ac:dyDescent="0.35">
      <c r="B10" s="2" t="s">
        <v>21</v>
      </c>
      <c r="C10" s="2" t="s">
        <v>27</v>
      </c>
      <c r="D10" s="2" t="s">
        <v>28</v>
      </c>
      <c r="E10" s="2" t="s">
        <v>25</v>
      </c>
      <c r="F10" s="13">
        <v>0.84</v>
      </c>
      <c r="G10" s="17">
        <v>0.12570000000000001</v>
      </c>
      <c r="H10" s="13">
        <v>1</v>
      </c>
      <c r="I10" s="2"/>
      <c r="J10" s="13" t="s">
        <v>46</v>
      </c>
      <c r="K10" s="13">
        <v>0</v>
      </c>
      <c r="L10" s="13">
        <v>0</v>
      </c>
      <c r="M10" s="13">
        <v>0</v>
      </c>
      <c r="N10" s="2" t="s">
        <v>46</v>
      </c>
    </row>
    <row r="11" spans="2:14" ht="14.5" x14ac:dyDescent="0.35">
      <c r="B11" s="2" t="s">
        <v>21</v>
      </c>
      <c r="C11" s="2" t="s">
        <v>29</v>
      </c>
      <c r="D11" s="2" t="s">
        <v>28</v>
      </c>
      <c r="E11" s="2" t="s">
        <v>24</v>
      </c>
      <c r="F11" s="13"/>
      <c r="G11" s="13"/>
      <c r="H11" s="13"/>
      <c r="I11" s="2"/>
      <c r="J11" s="13" t="s">
        <v>46</v>
      </c>
      <c r="K11" s="13">
        <v>0</v>
      </c>
      <c r="L11" s="13">
        <v>0</v>
      </c>
      <c r="M11" s="13">
        <v>0</v>
      </c>
      <c r="N11" s="2" t="s">
        <v>46</v>
      </c>
    </row>
    <row r="12" spans="2:14" ht="14.5" x14ac:dyDescent="0.35">
      <c r="B12" s="2" t="s">
        <v>21</v>
      </c>
      <c r="C12" s="2" t="s">
        <v>29</v>
      </c>
      <c r="D12" s="2" t="s">
        <v>28</v>
      </c>
      <c r="E12" s="2" t="s">
        <v>25</v>
      </c>
      <c r="F12" s="13"/>
      <c r="G12" s="13"/>
      <c r="H12" s="13">
        <v>1</v>
      </c>
      <c r="I12" s="2"/>
      <c r="J12" s="13" t="s">
        <v>46</v>
      </c>
      <c r="K12" s="13">
        <v>0</v>
      </c>
      <c r="L12" s="13">
        <v>0</v>
      </c>
      <c r="M12" s="13">
        <v>0</v>
      </c>
      <c r="N12" s="2" t="s">
        <v>46</v>
      </c>
    </row>
    <row r="13" spans="2:14" ht="14.5" x14ac:dyDescent="0.35">
      <c r="B13" s="2" t="s">
        <v>21</v>
      </c>
      <c r="C13" s="2" t="s">
        <v>30</v>
      </c>
      <c r="D13" s="2" t="s">
        <v>28</v>
      </c>
      <c r="E13" s="2" t="s">
        <v>24</v>
      </c>
      <c r="F13" s="13"/>
      <c r="G13" s="13"/>
      <c r="H13" s="13"/>
      <c r="I13" s="2"/>
      <c r="J13" s="13" t="s">
        <v>46</v>
      </c>
      <c r="K13" s="13">
        <v>0</v>
      </c>
      <c r="L13" s="13">
        <v>0</v>
      </c>
      <c r="M13" s="13">
        <v>0</v>
      </c>
      <c r="N13" s="2" t="s">
        <v>46</v>
      </c>
    </row>
    <row r="14" spans="2:14" ht="14.5" x14ac:dyDescent="0.35">
      <c r="B14" s="2" t="s">
        <v>21</v>
      </c>
      <c r="C14" s="2" t="s">
        <v>30</v>
      </c>
      <c r="D14" s="2" t="s">
        <v>28</v>
      </c>
      <c r="E14" s="2" t="s">
        <v>25</v>
      </c>
      <c r="F14" s="13"/>
      <c r="G14" s="13"/>
      <c r="H14" s="13">
        <v>1</v>
      </c>
      <c r="I14" s="2"/>
      <c r="J14" s="13" t="s">
        <v>46</v>
      </c>
      <c r="K14" s="13">
        <v>0</v>
      </c>
      <c r="L14" s="13">
        <v>0</v>
      </c>
      <c r="M14" s="13">
        <v>0</v>
      </c>
      <c r="N14" s="2" t="s">
        <v>46</v>
      </c>
    </row>
    <row r="15" spans="2:14" ht="14.5" x14ac:dyDescent="0.35">
      <c r="B15" s="2" t="s">
        <v>21</v>
      </c>
      <c r="C15" s="2" t="s">
        <v>31</v>
      </c>
      <c r="D15" s="2" t="s">
        <v>28</v>
      </c>
      <c r="E15" s="2" t="s">
        <v>24</v>
      </c>
      <c r="F15" s="13"/>
      <c r="G15" s="13"/>
      <c r="H15" s="13">
        <v>1</v>
      </c>
      <c r="I15" s="2"/>
      <c r="J15" s="13" t="s">
        <v>46</v>
      </c>
      <c r="K15" s="13">
        <v>0</v>
      </c>
      <c r="L15" s="13">
        <v>0</v>
      </c>
      <c r="M15" s="13">
        <v>0</v>
      </c>
      <c r="N15" s="2" t="s">
        <v>46</v>
      </c>
    </row>
    <row r="16" spans="2:14" ht="14.5" x14ac:dyDescent="0.35">
      <c r="B16" s="2" t="s">
        <v>21</v>
      </c>
      <c r="C16" s="2" t="s">
        <v>31</v>
      </c>
      <c r="D16" s="2" t="s">
        <v>28</v>
      </c>
      <c r="E16" s="2" t="s">
        <v>25</v>
      </c>
      <c r="F16" s="13"/>
      <c r="G16" s="13"/>
      <c r="H16" s="13">
        <v>1</v>
      </c>
      <c r="I16" s="2"/>
      <c r="J16" s="13" t="s">
        <v>46</v>
      </c>
      <c r="K16" s="13">
        <v>0</v>
      </c>
      <c r="L16" s="13">
        <v>0</v>
      </c>
      <c r="M16" s="13">
        <v>0</v>
      </c>
      <c r="N16" s="2" t="s">
        <v>46</v>
      </c>
    </row>
    <row r="17" spans="2:14" ht="14.5" x14ac:dyDescent="0.35">
      <c r="B17" s="2" t="s">
        <v>21</v>
      </c>
      <c r="C17" s="2" t="s">
        <v>32</v>
      </c>
      <c r="D17" s="2" t="s">
        <v>33</v>
      </c>
      <c r="E17" s="2" t="s">
        <v>24</v>
      </c>
      <c r="F17" s="13"/>
      <c r="G17" s="13"/>
      <c r="H17" s="13"/>
      <c r="I17" s="2"/>
      <c r="J17" s="13"/>
      <c r="K17" s="13"/>
      <c r="L17" s="13"/>
      <c r="M17" s="13"/>
      <c r="N17" s="2"/>
    </row>
    <row r="18" spans="2:14" ht="14.5" x14ac:dyDescent="0.35">
      <c r="B18" s="2" t="s">
        <v>21</v>
      </c>
      <c r="C18" s="2" t="s">
        <v>32</v>
      </c>
      <c r="D18" s="2" t="s">
        <v>33</v>
      </c>
      <c r="E18" s="2" t="s">
        <v>25</v>
      </c>
      <c r="F18" s="13"/>
      <c r="G18" s="13"/>
      <c r="H18" s="13"/>
      <c r="I18" s="2"/>
      <c r="J18" s="13"/>
      <c r="K18" s="13"/>
      <c r="L18" s="13"/>
      <c r="M18" s="13"/>
      <c r="N18" s="2"/>
    </row>
    <row r="19" spans="2:14" ht="14.5" x14ac:dyDescent="0.35">
      <c r="B19" s="2" t="s">
        <v>21</v>
      </c>
      <c r="C19" s="2" t="s">
        <v>34</v>
      </c>
      <c r="D19" s="2" t="s">
        <v>35</v>
      </c>
      <c r="E19" s="2" t="s">
        <v>24</v>
      </c>
      <c r="F19" s="13"/>
      <c r="G19" s="13"/>
      <c r="H19" s="13"/>
      <c r="I19" s="2"/>
      <c r="J19" s="13"/>
      <c r="K19" s="13"/>
      <c r="L19" s="13"/>
      <c r="M19" s="13"/>
      <c r="N19" s="2"/>
    </row>
    <row r="20" spans="2:14" ht="14.5" x14ac:dyDescent="0.35">
      <c r="B20" s="2" t="s">
        <v>21</v>
      </c>
      <c r="C20" s="2" t="s">
        <v>34</v>
      </c>
      <c r="D20" s="2" t="s">
        <v>35</v>
      </c>
      <c r="E20" s="2" t="s">
        <v>25</v>
      </c>
      <c r="F20" s="13"/>
      <c r="G20" s="13"/>
      <c r="H20" s="13"/>
      <c r="I20" s="2"/>
      <c r="J20" s="13"/>
      <c r="K20" s="13"/>
      <c r="L20" s="13"/>
      <c r="M20" s="13"/>
      <c r="N20" s="2"/>
    </row>
    <row r="21" spans="2:14" ht="14.5" x14ac:dyDescent="0.35">
      <c r="B21" s="2" t="s">
        <v>21</v>
      </c>
      <c r="C21" s="2" t="s">
        <v>36</v>
      </c>
      <c r="D21" s="2" t="s">
        <v>28</v>
      </c>
      <c r="E21" s="2" t="s">
        <v>24</v>
      </c>
      <c r="F21" s="13"/>
      <c r="G21" s="13"/>
      <c r="H21" s="13">
        <v>1</v>
      </c>
      <c r="I21" s="2"/>
      <c r="J21" s="13" t="s">
        <v>46</v>
      </c>
      <c r="K21" s="13">
        <v>0</v>
      </c>
      <c r="L21" s="13">
        <v>0</v>
      </c>
      <c r="M21" s="13">
        <v>0</v>
      </c>
      <c r="N21" s="2" t="s">
        <v>46</v>
      </c>
    </row>
    <row r="22" spans="2:14" ht="14.5" x14ac:dyDescent="0.35">
      <c r="B22" s="2" t="s">
        <v>21</v>
      </c>
      <c r="C22" s="2" t="s">
        <v>36</v>
      </c>
      <c r="D22" s="2" t="s">
        <v>28</v>
      </c>
      <c r="E22" s="2" t="s">
        <v>25</v>
      </c>
      <c r="F22" s="13"/>
      <c r="G22" s="13"/>
      <c r="H22" s="13">
        <v>1</v>
      </c>
      <c r="I22" s="2"/>
      <c r="J22" s="13" t="s">
        <v>46</v>
      </c>
      <c r="K22" s="13">
        <v>0</v>
      </c>
      <c r="L22" s="13">
        <v>0</v>
      </c>
      <c r="M22" s="13">
        <v>0</v>
      </c>
      <c r="N22" s="2" t="s">
        <v>46</v>
      </c>
    </row>
    <row r="23" spans="2:14" ht="14.5" x14ac:dyDescent="0.35">
      <c r="B23" s="2" t="s">
        <v>21</v>
      </c>
      <c r="C23" s="2" t="s">
        <v>37</v>
      </c>
      <c r="D23" s="2" t="s">
        <v>28</v>
      </c>
      <c r="E23" s="2" t="s">
        <v>24</v>
      </c>
      <c r="F23" s="13">
        <v>0.8</v>
      </c>
      <c r="G23" s="18" t="s">
        <v>65</v>
      </c>
      <c r="H23" s="13">
        <v>1</v>
      </c>
      <c r="I23" s="2" t="s">
        <v>66</v>
      </c>
      <c r="J23" s="13" t="s">
        <v>46</v>
      </c>
      <c r="K23" s="13" t="s">
        <v>46</v>
      </c>
      <c r="L23" s="13" t="s">
        <v>46</v>
      </c>
      <c r="M23" s="13" t="s">
        <v>46</v>
      </c>
      <c r="N23" s="2" t="s">
        <v>46</v>
      </c>
    </row>
    <row r="24" spans="2:14" ht="14.5" x14ac:dyDescent="0.35">
      <c r="B24" s="2" t="s">
        <v>21</v>
      </c>
      <c r="C24" s="2" t="s">
        <v>37</v>
      </c>
      <c r="D24" s="2" t="s">
        <v>28</v>
      </c>
      <c r="E24" s="2" t="s">
        <v>25</v>
      </c>
      <c r="F24" s="13">
        <v>0.9</v>
      </c>
      <c r="G24" s="13" t="s">
        <v>46</v>
      </c>
      <c r="H24" s="13">
        <v>1</v>
      </c>
      <c r="I24" s="2" t="s">
        <v>66</v>
      </c>
      <c r="J24" s="13" t="s">
        <v>46</v>
      </c>
      <c r="K24" s="13" t="s">
        <v>46</v>
      </c>
      <c r="L24" s="13" t="s">
        <v>46</v>
      </c>
      <c r="M24" s="13" t="s">
        <v>46</v>
      </c>
      <c r="N24" s="2" t="s">
        <v>46</v>
      </c>
    </row>
    <row r="25" spans="2:14" ht="14.5" x14ac:dyDescent="0.35">
      <c r="B25" s="2" t="s">
        <v>21</v>
      </c>
      <c r="C25" s="2" t="s">
        <v>38</v>
      </c>
      <c r="D25" s="2" t="s">
        <v>28</v>
      </c>
      <c r="E25" s="2" t="s">
        <v>24</v>
      </c>
      <c r="F25" s="13"/>
      <c r="G25" s="13"/>
      <c r="H25" s="13">
        <v>1</v>
      </c>
      <c r="I25" s="2"/>
      <c r="J25" s="13" t="s">
        <v>46</v>
      </c>
      <c r="K25" s="13">
        <v>0</v>
      </c>
      <c r="L25" s="13">
        <v>0</v>
      </c>
      <c r="M25" s="13">
        <v>0</v>
      </c>
      <c r="N25" s="2" t="s">
        <v>46</v>
      </c>
    </row>
    <row r="26" spans="2:14" ht="14.5" x14ac:dyDescent="0.35">
      <c r="B26" s="2" t="s">
        <v>21</v>
      </c>
      <c r="C26" s="2" t="s">
        <v>38</v>
      </c>
      <c r="D26" s="2" t="s">
        <v>28</v>
      </c>
      <c r="E26" s="2" t="s">
        <v>25</v>
      </c>
      <c r="F26" s="13"/>
      <c r="G26" s="13"/>
      <c r="H26" s="13">
        <v>1</v>
      </c>
      <c r="I26" s="2"/>
      <c r="J26" s="13" t="s">
        <v>46</v>
      </c>
      <c r="K26" s="13">
        <v>0</v>
      </c>
      <c r="L26" s="13">
        <v>0</v>
      </c>
      <c r="M26" s="13">
        <v>0</v>
      </c>
      <c r="N26" s="2" t="s">
        <v>46</v>
      </c>
    </row>
    <row r="27" spans="2:14" ht="14.5" x14ac:dyDescent="0.35">
      <c r="B27" s="2" t="s">
        <v>39</v>
      </c>
      <c r="C27" s="2" t="s">
        <v>40</v>
      </c>
      <c r="D27" s="2" t="s">
        <v>28</v>
      </c>
      <c r="E27" s="2" t="s">
        <v>24</v>
      </c>
      <c r="F27" s="13"/>
      <c r="G27" s="13"/>
      <c r="H27" s="13">
        <v>1</v>
      </c>
      <c r="I27" s="2"/>
      <c r="J27" s="13" t="s">
        <v>46</v>
      </c>
      <c r="K27" s="13">
        <v>0</v>
      </c>
      <c r="L27" s="13">
        <v>0</v>
      </c>
      <c r="M27" s="13">
        <v>0</v>
      </c>
      <c r="N27" s="2" t="s">
        <v>46</v>
      </c>
    </row>
    <row r="28" spans="2:14" ht="14.5" x14ac:dyDescent="0.35">
      <c r="B28" s="2" t="s">
        <v>39</v>
      </c>
      <c r="C28" s="2" t="s">
        <v>40</v>
      </c>
      <c r="D28" s="2" t="s">
        <v>28</v>
      </c>
      <c r="E28" s="2" t="s">
        <v>25</v>
      </c>
      <c r="F28" s="13"/>
      <c r="G28" s="13"/>
      <c r="H28" s="13">
        <v>1</v>
      </c>
      <c r="I28" s="2"/>
      <c r="J28" s="13" t="s">
        <v>46</v>
      </c>
      <c r="K28" s="13">
        <v>0</v>
      </c>
      <c r="L28" s="13">
        <v>0</v>
      </c>
      <c r="M28" s="13">
        <v>0</v>
      </c>
      <c r="N28" s="2" t="s">
        <v>46</v>
      </c>
    </row>
    <row r="29" spans="2:14" ht="14.5" x14ac:dyDescent="0.35">
      <c r="B29" s="2" t="s">
        <v>39</v>
      </c>
      <c r="C29" s="2" t="s">
        <v>41</v>
      </c>
      <c r="D29" s="2" t="s">
        <v>28</v>
      </c>
      <c r="E29" s="2" t="s">
        <v>24</v>
      </c>
      <c r="F29" s="13"/>
      <c r="G29" s="13"/>
      <c r="H29" s="13">
        <v>1</v>
      </c>
      <c r="I29" s="2"/>
      <c r="J29" s="13" t="s">
        <v>46</v>
      </c>
      <c r="K29" s="13">
        <v>0</v>
      </c>
      <c r="L29" s="13">
        <v>0</v>
      </c>
      <c r="M29" s="13">
        <v>0</v>
      </c>
      <c r="N29" s="2" t="s">
        <v>46</v>
      </c>
    </row>
    <row r="30" spans="2:14" ht="14.5" x14ac:dyDescent="0.35">
      <c r="B30" s="2" t="s">
        <v>39</v>
      </c>
      <c r="C30" s="2" t="s">
        <v>41</v>
      </c>
      <c r="D30" s="2" t="s">
        <v>28</v>
      </c>
      <c r="E30" s="2" t="s">
        <v>25</v>
      </c>
      <c r="F30" s="13"/>
      <c r="G30" s="13"/>
      <c r="H30" s="13">
        <v>1</v>
      </c>
      <c r="I30" s="2"/>
      <c r="J30" s="13" t="s">
        <v>46</v>
      </c>
      <c r="K30" s="13">
        <v>0</v>
      </c>
      <c r="L30" s="13">
        <v>0</v>
      </c>
      <c r="M30" s="13">
        <v>0</v>
      </c>
      <c r="N30" s="2" t="s">
        <v>46</v>
      </c>
    </row>
    <row r="31" spans="2:14" ht="14.5" x14ac:dyDescent="0.35">
      <c r="B31" s="2" t="s">
        <v>39</v>
      </c>
      <c r="C31" s="2" t="s">
        <v>42</v>
      </c>
      <c r="D31" s="2" t="s">
        <v>28</v>
      </c>
      <c r="E31" s="2" t="s">
        <v>24</v>
      </c>
      <c r="F31" s="13"/>
      <c r="G31" s="17"/>
      <c r="H31" s="13">
        <v>1</v>
      </c>
      <c r="I31" s="2"/>
      <c r="J31" s="13" t="s">
        <v>46</v>
      </c>
      <c r="K31" s="13">
        <v>0</v>
      </c>
      <c r="L31" s="13">
        <v>0</v>
      </c>
      <c r="M31" s="13">
        <v>0</v>
      </c>
      <c r="N31" s="2" t="s">
        <v>46</v>
      </c>
    </row>
    <row r="32" spans="2:14" ht="14.5" x14ac:dyDescent="0.35">
      <c r="B32" s="2" t="s">
        <v>39</v>
      </c>
      <c r="C32" s="2" t="s">
        <v>42</v>
      </c>
      <c r="D32" s="2" t="s">
        <v>28</v>
      </c>
      <c r="E32" s="2" t="s">
        <v>25</v>
      </c>
      <c r="F32" s="13"/>
      <c r="G32" s="17"/>
      <c r="H32" s="13">
        <v>1</v>
      </c>
      <c r="I32" s="2"/>
      <c r="J32" s="13" t="s">
        <v>46</v>
      </c>
      <c r="K32" s="13">
        <v>0</v>
      </c>
      <c r="L32" s="13">
        <v>0</v>
      </c>
      <c r="M32" s="13">
        <v>0</v>
      </c>
      <c r="N32" s="2" t="s">
        <v>46</v>
      </c>
    </row>
    <row r="33" spans="2:14" ht="14.5" x14ac:dyDescent="0.35">
      <c r="B33" s="2" t="s">
        <v>39</v>
      </c>
      <c r="C33" s="2" t="s">
        <v>43</v>
      </c>
      <c r="D33" s="2" t="s">
        <v>28</v>
      </c>
      <c r="E33" s="2" t="s">
        <v>24</v>
      </c>
      <c r="F33" s="13"/>
      <c r="G33" s="13"/>
      <c r="H33" s="13">
        <v>1</v>
      </c>
      <c r="I33" s="2"/>
      <c r="J33" s="13" t="s">
        <v>46</v>
      </c>
      <c r="K33" s="13">
        <v>0</v>
      </c>
      <c r="L33" s="13">
        <v>0</v>
      </c>
      <c r="M33" s="13">
        <v>0</v>
      </c>
      <c r="N33" s="2" t="s">
        <v>46</v>
      </c>
    </row>
    <row r="34" spans="2:14" ht="14.5" x14ac:dyDescent="0.35">
      <c r="B34" s="2" t="s">
        <v>39</v>
      </c>
      <c r="C34" s="2" t="s">
        <v>43</v>
      </c>
      <c r="D34" s="2" t="s">
        <v>28</v>
      </c>
      <c r="E34" s="2" t="s">
        <v>25</v>
      </c>
      <c r="F34" s="13"/>
      <c r="G34" s="13"/>
      <c r="H34" s="13">
        <v>1</v>
      </c>
      <c r="I34" s="2"/>
      <c r="J34" s="13" t="s">
        <v>46</v>
      </c>
      <c r="K34" s="13">
        <v>0</v>
      </c>
      <c r="L34" s="13">
        <v>0</v>
      </c>
      <c r="M34" s="13">
        <v>0</v>
      </c>
      <c r="N34" s="2" t="s">
        <v>46</v>
      </c>
    </row>
    <row r="35" spans="2:14" ht="14.5" x14ac:dyDescent="0.35">
      <c r="B35" s="2" t="s">
        <v>39</v>
      </c>
      <c r="C35" s="2" t="s">
        <v>44</v>
      </c>
      <c r="D35" s="2" t="s">
        <v>28</v>
      </c>
      <c r="E35" s="2" t="s">
        <v>24</v>
      </c>
      <c r="F35" s="13"/>
      <c r="G35" s="13"/>
      <c r="H35" s="13">
        <v>1</v>
      </c>
      <c r="I35" s="2"/>
      <c r="J35" s="13" t="s">
        <v>46</v>
      </c>
      <c r="K35" s="13">
        <v>0</v>
      </c>
      <c r="L35" s="13">
        <v>0</v>
      </c>
      <c r="M35" s="13">
        <v>0</v>
      </c>
      <c r="N35" s="2" t="s">
        <v>46</v>
      </c>
    </row>
    <row r="36" spans="2:14" ht="14.5" x14ac:dyDescent="0.35">
      <c r="B36" s="2" t="s">
        <v>39</v>
      </c>
      <c r="C36" s="2" t="s">
        <v>44</v>
      </c>
      <c r="D36" s="2" t="s">
        <v>28</v>
      </c>
      <c r="E36" s="2" t="s">
        <v>25</v>
      </c>
      <c r="F36" s="13"/>
      <c r="G36" s="13"/>
      <c r="H36" s="13">
        <v>1</v>
      </c>
      <c r="I36" s="2"/>
      <c r="J36" s="13" t="s">
        <v>46</v>
      </c>
      <c r="K36" s="13">
        <v>0</v>
      </c>
      <c r="L36" s="13">
        <v>0</v>
      </c>
      <c r="M36" s="13">
        <v>0</v>
      </c>
      <c r="N36" s="2" t="s">
        <v>46</v>
      </c>
    </row>
    <row r="37" spans="2:14" ht="14.5" x14ac:dyDescent="0.35">
      <c r="B37" s="2" t="s">
        <v>39</v>
      </c>
      <c r="C37" s="2" t="s">
        <v>45</v>
      </c>
      <c r="D37" s="2"/>
      <c r="E37" s="2" t="s">
        <v>24</v>
      </c>
      <c r="F37" s="13" t="s">
        <v>46</v>
      </c>
      <c r="G37" s="13" t="s">
        <v>46</v>
      </c>
      <c r="H37" s="13" t="s">
        <v>46</v>
      </c>
      <c r="I37" s="2" t="s">
        <v>46</v>
      </c>
      <c r="J37" s="13" t="s">
        <v>46</v>
      </c>
      <c r="K37" s="13" t="s">
        <v>46</v>
      </c>
      <c r="L37" s="13" t="s">
        <v>46</v>
      </c>
      <c r="M37" s="13" t="s">
        <v>46</v>
      </c>
      <c r="N37" s="2" t="s">
        <v>46</v>
      </c>
    </row>
    <row r="38" spans="2:14" ht="14.5" x14ac:dyDescent="0.35">
      <c r="B38" s="2" t="s">
        <v>39</v>
      </c>
      <c r="C38" s="2" t="s">
        <v>45</v>
      </c>
      <c r="D38" s="2"/>
      <c r="E38" s="2" t="s">
        <v>25</v>
      </c>
      <c r="F38" s="13" t="s">
        <v>46</v>
      </c>
      <c r="G38" s="13" t="s">
        <v>46</v>
      </c>
      <c r="H38" s="13" t="s">
        <v>46</v>
      </c>
      <c r="I38" s="2" t="s">
        <v>46</v>
      </c>
      <c r="J38" s="13" t="s">
        <v>46</v>
      </c>
      <c r="K38" s="13" t="s">
        <v>46</v>
      </c>
      <c r="L38" s="13" t="s">
        <v>46</v>
      </c>
      <c r="M38" s="13" t="s">
        <v>46</v>
      </c>
      <c r="N38" s="2" t="s">
        <v>46</v>
      </c>
    </row>
    <row r="39" spans="2:14" ht="14.5" x14ac:dyDescent="0.35">
      <c r="B39" s="2" t="s">
        <v>39</v>
      </c>
      <c r="C39" s="2" t="s">
        <v>47</v>
      </c>
      <c r="D39" s="2" t="s">
        <v>28</v>
      </c>
      <c r="E39" s="2" t="s">
        <v>24</v>
      </c>
      <c r="F39" s="13"/>
      <c r="G39" s="13"/>
      <c r="H39" s="13">
        <v>1</v>
      </c>
      <c r="I39" s="2"/>
      <c r="J39" s="13" t="s">
        <v>46</v>
      </c>
      <c r="K39" s="13">
        <v>0</v>
      </c>
      <c r="L39" s="13">
        <v>0</v>
      </c>
      <c r="M39" s="13">
        <v>0</v>
      </c>
      <c r="N39" s="2" t="s">
        <v>46</v>
      </c>
    </row>
    <row r="40" spans="2:14" ht="14.5" x14ac:dyDescent="0.35">
      <c r="B40" s="2" t="s">
        <v>39</v>
      </c>
      <c r="C40" s="2" t="s">
        <v>47</v>
      </c>
      <c r="D40" s="2" t="s">
        <v>28</v>
      </c>
      <c r="E40" s="2" t="s">
        <v>25</v>
      </c>
      <c r="F40" s="13"/>
      <c r="G40" s="13"/>
      <c r="H40" s="13">
        <v>1</v>
      </c>
      <c r="I40" s="2"/>
      <c r="J40" s="13" t="s">
        <v>46</v>
      </c>
      <c r="K40" s="13">
        <v>0</v>
      </c>
      <c r="L40" s="13">
        <v>0</v>
      </c>
      <c r="M40" s="13">
        <v>0</v>
      </c>
      <c r="N40" s="2" t="s">
        <v>46</v>
      </c>
    </row>
    <row r="41" spans="2:14" ht="14.5" x14ac:dyDescent="0.35">
      <c r="B41" s="2" t="s">
        <v>39</v>
      </c>
      <c r="C41" s="2" t="s">
        <v>48</v>
      </c>
      <c r="D41" s="2" t="s">
        <v>28</v>
      </c>
      <c r="E41" s="2" t="s">
        <v>24</v>
      </c>
      <c r="F41" s="13"/>
      <c r="G41" s="13"/>
      <c r="H41" s="13">
        <v>1</v>
      </c>
      <c r="I41" s="2"/>
      <c r="J41" s="13" t="s">
        <v>46</v>
      </c>
      <c r="K41" s="13">
        <v>0</v>
      </c>
      <c r="L41" s="13">
        <v>0</v>
      </c>
      <c r="M41" s="13">
        <v>0</v>
      </c>
      <c r="N41" s="2" t="s">
        <v>46</v>
      </c>
    </row>
    <row r="42" spans="2:14" ht="14.5" x14ac:dyDescent="0.35">
      <c r="B42" s="2" t="s">
        <v>39</v>
      </c>
      <c r="C42" s="2" t="s">
        <v>48</v>
      </c>
      <c r="D42" s="2" t="s">
        <v>28</v>
      </c>
      <c r="E42" s="2" t="s">
        <v>25</v>
      </c>
      <c r="F42" s="13"/>
      <c r="G42" s="13"/>
      <c r="H42" s="13">
        <v>1</v>
      </c>
      <c r="I42" s="2"/>
      <c r="J42" s="13" t="s">
        <v>46</v>
      </c>
      <c r="K42" s="13">
        <v>0</v>
      </c>
      <c r="L42" s="13">
        <v>0</v>
      </c>
      <c r="M42" s="13">
        <v>0</v>
      </c>
      <c r="N42" s="2" t="s">
        <v>46</v>
      </c>
    </row>
    <row r="43" spans="2:14" ht="14.5" x14ac:dyDescent="0.35">
      <c r="B43" s="2" t="s">
        <v>39</v>
      </c>
      <c r="C43" s="2" t="s">
        <v>49</v>
      </c>
      <c r="D43" s="2" t="s">
        <v>28</v>
      </c>
      <c r="E43" s="2" t="s">
        <v>24</v>
      </c>
      <c r="F43" s="13"/>
      <c r="G43" s="13"/>
      <c r="H43" s="13">
        <v>1</v>
      </c>
      <c r="I43" s="2"/>
      <c r="J43" s="13" t="s">
        <v>46</v>
      </c>
      <c r="K43" s="13">
        <v>0</v>
      </c>
      <c r="L43" s="13">
        <v>0</v>
      </c>
      <c r="M43" s="13">
        <v>0</v>
      </c>
      <c r="N43" s="2" t="s">
        <v>46</v>
      </c>
    </row>
    <row r="44" spans="2:14" ht="14.5" x14ac:dyDescent="0.35">
      <c r="B44" s="2" t="s">
        <v>39</v>
      </c>
      <c r="C44" s="2" t="s">
        <v>49</v>
      </c>
      <c r="D44" s="2" t="s">
        <v>28</v>
      </c>
      <c r="E44" s="2" t="s">
        <v>25</v>
      </c>
      <c r="F44" s="13"/>
      <c r="G44" s="13"/>
      <c r="H44" s="13">
        <v>1</v>
      </c>
      <c r="I44" s="2"/>
      <c r="J44" s="13" t="s">
        <v>46</v>
      </c>
      <c r="K44" s="13">
        <v>0</v>
      </c>
      <c r="L44" s="13">
        <v>0</v>
      </c>
      <c r="M44" s="13">
        <v>0</v>
      </c>
      <c r="N44" s="2" t="s">
        <v>46</v>
      </c>
    </row>
    <row r="45" spans="2:14" ht="14.5" x14ac:dyDescent="0.35">
      <c r="B45" s="2" t="s">
        <v>39</v>
      </c>
      <c r="C45" s="2" t="s">
        <v>50</v>
      </c>
      <c r="D45" s="2" t="s">
        <v>28</v>
      </c>
      <c r="E45" s="2" t="s">
        <v>24</v>
      </c>
      <c r="F45" s="13"/>
      <c r="G45" s="13"/>
      <c r="H45" s="13">
        <v>1</v>
      </c>
      <c r="I45" s="2"/>
      <c r="J45" s="13" t="s">
        <v>46</v>
      </c>
      <c r="K45" s="13">
        <v>0</v>
      </c>
      <c r="L45" s="13">
        <v>0</v>
      </c>
      <c r="M45" s="13">
        <v>0</v>
      </c>
      <c r="N45" s="2" t="s">
        <v>46</v>
      </c>
    </row>
    <row r="46" spans="2:14" ht="14.5" x14ac:dyDescent="0.35">
      <c r="B46" s="2" t="s">
        <v>39</v>
      </c>
      <c r="C46" s="2" t="s">
        <v>50</v>
      </c>
      <c r="D46" s="2" t="s">
        <v>28</v>
      </c>
      <c r="E46" s="2" t="s">
        <v>25</v>
      </c>
      <c r="F46" s="13"/>
      <c r="G46" s="13"/>
      <c r="H46" s="13">
        <v>1</v>
      </c>
      <c r="I46" s="2"/>
      <c r="J46" s="13" t="s">
        <v>46</v>
      </c>
      <c r="K46" s="13">
        <v>0</v>
      </c>
      <c r="L46" s="13">
        <v>0</v>
      </c>
      <c r="M46" s="13">
        <v>0</v>
      </c>
      <c r="N46" s="2" t="s">
        <v>46</v>
      </c>
    </row>
    <row r="47" spans="2:14" ht="14.5" x14ac:dyDescent="0.35">
      <c r="B47" s="2" t="s">
        <v>39</v>
      </c>
      <c r="C47" s="2" t="s">
        <v>51</v>
      </c>
      <c r="D47" s="2" t="s">
        <v>28</v>
      </c>
      <c r="E47" s="2" t="s">
        <v>24</v>
      </c>
      <c r="F47" s="13"/>
      <c r="G47" s="13"/>
      <c r="H47" s="13">
        <v>1</v>
      </c>
      <c r="I47" s="2"/>
      <c r="J47" s="13" t="s">
        <v>46</v>
      </c>
      <c r="K47" s="13">
        <v>0</v>
      </c>
      <c r="L47" s="13">
        <v>0</v>
      </c>
      <c r="M47" s="13">
        <v>0</v>
      </c>
      <c r="N47" s="2" t="s">
        <v>46</v>
      </c>
    </row>
    <row r="48" spans="2:14" ht="14.5" x14ac:dyDescent="0.35">
      <c r="B48" s="2" t="s">
        <v>39</v>
      </c>
      <c r="C48" s="2" t="s">
        <v>51</v>
      </c>
      <c r="D48" s="2" t="s">
        <v>28</v>
      </c>
      <c r="E48" s="2" t="s">
        <v>25</v>
      </c>
      <c r="F48" s="13"/>
      <c r="G48" s="13"/>
      <c r="H48" s="13">
        <v>1</v>
      </c>
      <c r="I48" s="2"/>
      <c r="J48" s="13" t="s">
        <v>46</v>
      </c>
      <c r="K48" s="13">
        <v>0</v>
      </c>
      <c r="L48" s="13">
        <v>0</v>
      </c>
      <c r="M48" s="13">
        <v>0</v>
      </c>
      <c r="N48" s="2" t="s">
        <v>46</v>
      </c>
    </row>
    <row r="49" spans="2:15" ht="14.5" x14ac:dyDescent="0.35">
      <c r="B49" s="2" t="s">
        <v>67</v>
      </c>
      <c r="C49" s="2" t="s">
        <v>68</v>
      </c>
      <c r="D49" s="2" t="s">
        <v>69</v>
      </c>
      <c r="E49" s="2" t="s">
        <v>24</v>
      </c>
      <c r="F49" s="13">
        <v>0.9</v>
      </c>
      <c r="G49" s="13">
        <v>0.8</v>
      </c>
      <c r="H49" s="13">
        <v>1</v>
      </c>
      <c r="I49" s="2"/>
      <c r="J49" s="13">
        <v>0.85</v>
      </c>
      <c r="K49" s="13" t="s">
        <v>46</v>
      </c>
      <c r="L49" s="13" t="s">
        <v>46</v>
      </c>
      <c r="M49" s="13" t="s">
        <v>46</v>
      </c>
      <c r="N49" s="2" t="s">
        <v>46</v>
      </c>
    </row>
    <row r="50" spans="2:15" ht="14.5" x14ac:dyDescent="0.35">
      <c r="B50" s="2" t="s">
        <v>67</v>
      </c>
      <c r="C50" s="2" t="s">
        <v>68</v>
      </c>
      <c r="D50" s="2" t="s">
        <v>69</v>
      </c>
      <c r="E50" s="2" t="s">
        <v>25</v>
      </c>
      <c r="F50" s="13">
        <v>0.8</v>
      </c>
      <c r="G50" s="13">
        <v>0.75</v>
      </c>
      <c r="H50" s="13">
        <v>1</v>
      </c>
      <c r="I50" s="2"/>
      <c r="J50" s="13">
        <v>0.85</v>
      </c>
      <c r="K50" s="13" t="s">
        <v>46</v>
      </c>
      <c r="L50" s="13" t="s">
        <v>46</v>
      </c>
      <c r="M50" s="13" t="s">
        <v>46</v>
      </c>
      <c r="N50" s="2" t="s">
        <v>46</v>
      </c>
    </row>
    <row r="51" spans="2:15" ht="14.5" x14ac:dyDescent="0.35">
      <c r="B51" s="2" t="s">
        <v>67</v>
      </c>
      <c r="C51" s="2" t="s">
        <v>70</v>
      </c>
      <c r="D51" s="2" t="s">
        <v>69</v>
      </c>
      <c r="E51" s="2" t="s">
        <v>24</v>
      </c>
      <c r="F51" s="13">
        <v>0.9</v>
      </c>
      <c r="G51" s="13">
        <v>0.9</v>
      </c>
      <c r="H51" s="13">
        <v>1</v>
      </c>
      <c r="I51" s="2"/>
      <c r="J51" s="13" t="s">
        <v>46</v>
      </c>
      <c r="K51" s="13" t="s">
        <v>46</v>
      </c>
      <c r="L51" s="13" t="s">
        <v>46</v>
      </c>
      <c r="M51" s="13" t="s">
        <v>46</v>
      </c>
      <c r="N51" s="2" t="s">
        <v>46</v>
      </c>
    </row>
    <row r="52" spans="2:15" ht="14.5" x14ac:dyDescent="0.35">
      <c r="B52" s="2" t="s">
        <v>67</v>
      </c>
      <c r="C52" s="2" t="s">
        <v>70</v>
      </c>
      <c r="D52" s="2" t="s">
        <v>69</v>
      </c>
      <c r="E52" s="2" t="s">
        <v>25</v>
      </c>
      <c r="F52" s="13">
        <v>0.85</v>
      </c>
      <c r="G52" s="13">
        <v>0.85</v>
      </c>
      <c r="H52" s="13">
        <v>1</v>
      </c>
      <c r="I52" s="2"/>
      <c r="J52" s="13" t="s">
        <v>46</v>
      </c>
      <c r="K52" s="13" t="s">
        <v>46</v>
      </c>
      <c r="L52" s="13" t="s">
        <v>46</v>
      </c>
      <c r="M52" s="13" t="s">
        <v>46</v>
      </c>
      <c r="N52" s="2" t="s">
        <v>46</v>
      </c>
    </row>
    <row r="53" spans="2:15" ht="14.5" x14ac:dyDescent="0.35">
      <c r="B53" s="2" t="s">
        <v>67</v>
      </c>
      <c r="C53" s="2" t="s">
        <v>71</v>
      </c>
      <c r="D53" s="2" t="s">
        <v>72</v>
      </c>
      <c r="E53" s="2" t="s">
        <v>24</v>
      </c>
      <c r="F53" s="13">
        <v>0.89</v>
      </c>
      <c r="G53" s="13">
        <v>0.85</v>
      </c>
      <c r="H53" s="13">
        <v>1</v>
      </c>
      <c r="I53" s="2"/>
      <c r="J53" s="14">
        <v>0.9</v>
      </c>
      <c r="K53" s="13" t="s">
        <v>46</v>
      </c>
      <c r="L53" s="13" t="s">
        <v>46</v>
      </c>
      <c r="M53" s="13" t="s">
        <v>46</v>
      </c>
      <c r="N53" s="2" t="s">
        <v>46</v>
      </c>
    </row>
    <row r="54" spans="2:15" ht="14.5" x14ac:dyDescent="0.35">
      <c r="B54" s="2" t="s">
        <v>67</v>
      </c>
      <c r="C54" s="2" t="s">
        <v>71</v>
      </c>
      <c r="D54" s="2" t="s">
        <v>72</v>
      </c>
      <c r="E54" s="2" t="s">
        <v>25</v>
      </c>
      <c r="F54" s="13">
        <v>0.9</v>
      </c>
      <c r="G54" s="13">
        <v>0.87</v>
      </c>
      <c r="H54" s="13">
        <v>1</v>
      </c>
      <c r="I54" s="2"/>
      <c r="J54" s="13">
        <v>0.9</v>
      </c>
      <c r="K54" s="13" t="s">
        <v>46</v>
      </c>
      <c r="L54" s="13" t="s">
        <v>46</v>
      </c>
      <c r="M54" s="13" t="s">
        <v>46</v>
      </c>
      <c r="N54" s="2" t="s">
        <v>46</v>
      </c>
    </row>
    <row r="55" spans="2:15" ht="14.5" x14ac:dyDescent="0.35">
      <c r="B55" s="2" t="s">
        <v>67</v>
      </c>
      <c r="C55" s="2" t="s">
        <v>73</v>
      </c>
      <c r="D55" s="2" t="s">
        <v>69</v>
      </c>
      <c r="E55" s="2" t="s">
        <v>24</v>
      </c>
      <c r="F55" s="13">
        <v>1</v>
      </c>
      <c r="G55" s="13">
        <v>1</v>
      </c>
      <c r="H55" s="13">
        <v>1</v>
      </c>
      <c r="I55" s="2"/>
      <c r="J55" s="13" t="s">
        <v>46</v>
      </c>
      <c r="K55" s="13" t="s">
        <v>46</v>
      </c>
      <c r="L55" s="13" t="s">
        <v>46</v>
      </c>
      <c r="M55" s="13" t="s">
        <v>46</v>
      </c>
      <c r="N55" s="2" t="s">
        <v>46</v>
      </c>
    </row>
    <row r="56" spans="2:15" ht="14.5" x14ac:dyDescent="0.35">
      <c r="B56" s="2" t="s">
        <v>67</v>
      </c>
      <c r="C56" s="2" t="s">
        <v>73</v>
      </c>
      <c r="D56" s="2" t="s">
        <v>69</v>
      </c>
      <c r="E56" s="2" t="s">
        <v>25</v>
      </c>
      <c r="F56" s="13">
        <v>1</v>
      </c>
      <c r="G56" s="13">
        <v>1</v>
      </c>
      <c r="H56" s="13">
        <v>1</v>
      </c>
      <c r="I56" s="2"/>
      <c r="J56" s="13" t="s">
        <v>46</v>
      </c>
      <c r="K56" s="13" t="s">
        <v>46</v>
      </c>
      <c r="L56" s="13" t="s">
        <v>46</v>
      </c>
      <c r="M56" s="13" t="s">
        <v>46</v>
      </c>
      <c r="N56" s="2" t="s">
        <v>46</v>
      </c>
    </row>
    <row r="57" spans="2:15" ht="14.5" x14ac:dyDescent="0.35">
      <c r="B57" s="2" t="s">
        <v>67</v>
      </c>
      <c r="C57" s="2" t="s">
        <v>74</v>
      </c>
      <c r="D57" s="2" t="s">
        <v>69</v>
      </c>
      <c r="E57" s="2" t="s">
        <v>24</v>
      </c>
      <c r="F57" s="13">
        <v>1</v>
      </c>
      <c r="G57" s="13">
        <v>1</v>
      </c>
      <c r="H57" s="13">
        <v>1</v>
      </c>
      <c r="I57" s="2"/>
      <c r="J57" s="13" t="s">
        <v>46</v>
      </c>
      <c r="K57" s="13" t="s">
        <v>46</v>
      </c>
      <c r="L57" s="13" t="s">
        <v>46</v>
      </c>
      <c r="M57" s="13" t="s">
        <v>46</v>
      </c>
      <c r="N57" s="2" t="s">
        <v>46</v>
      </c>
    </row>
    <row r="58" spans="2:15" ht="14.5" x14ac:dyDescent="0.35">
      <c r="B58" s="2" t="s">
        <v>67</v>
      </c>
      <c r="C58" s="2" t="s">
        <v>74</v>
      </c>
      <c r="D58" s="2" t="s">
        <v>69</v>
      </c>
      <c r="E58" s="2" t="s">
        <v>25</v>
      </c>
      <c r="F58" s="13">
        <v>1</v>
      </c>
      <c r="G58" s="13">
        <v>1</v>
      </c>
      <c r="H58" s="13">
        <v>1</v>
      </c>
      <c r="I58" s="2"/>
      <c r="J58" s="13" t="s">
        <v>46</v>
      </c>
      <c r="K58" s="13" t="s">
        <v>46</v>
      </c>
      <c r="L58" s="13" t="s">
        <v>46</v>
      </c>
      <c r="M58" s="13" t="s">
        <v>46</v>
      </c>
      <c r="N58" s="2" t="s">
        <v>46</v>
      </c>
      <c r="O58" s="2"/>
    </row>
    <row r="59" spans="2:15" ht="14.5" x14ac:dyDescent="0.35">
      <c r="B59" s="2" t="s">
        <v>67</v>
      </c>
      <c r="C59" s="2" t="s">
        <v>75</v>
      </c>
      <c r="D59" s="2" t="s">
        <v>69</v>
      </c>
      <c r="E59" s="2" t="s">
        <v>24</v>
      </c>
      <c r="F59" s="13">
        <v>1</v>
      </c>
      <c r="G59" s="13">
        <v>1</v>
      </c>
      <c r="H59" s="13">
        <v>1</v>
      </c>
      <c r="I59" s="2"/>
      <c r="J59" s="13" t="s">
        <v>46</v>
      </c>
      <c r="K59" s="13" t="s">
        <v>46</v>
      </c>
      <c r="L59" s="13" t="s">
        <v>46</v>
      </c>
      <c r="M59" s="13" t="s">
        <v>46</v>
      </c>
      <c r="N59" s="2" t="s">
        <v>46</v>
      </c>
    </row>
    <row r="60" spans="2:15" ht="14.5" x14ac:dyDescent="0.35">
      <c r="B60" s="2" t="s">
        <v>67</v>
      </c>
      <c r="C60" s="2" t="s">
        <v>75</v>
      </c>
      <c r="D60" s="2" t="s">
        <v>69</v>
      </c>
      <c r="E60" s="2" t="s">
        <v>25</v>
      </c>
      <c r="F60" s="13">
        <v>1</v>
      </c>
      <c r="G60" s="13">
        <v>1</v>
      </c>
      <c r="H60" s="13">
        <v>1</v>
      </c>
      <c r="I60" s="2"/>
      <c r="J60" s="13" t="s">
        <v>46</v>
      </c>
      <c r="K60" s="13" t="s">
        <v>46</v>
      </c>
      <c r="L60" s="13" t="s">
        <v>46</v>
      </c>
      <c r="M60" s="13" t="s">
        <v>46</v>
      </c>
      <c r="N60" s="2" t="s">
        <v>46</v>
      </c>
    </row>
    <row r="61" spans="2:15" ht="14.5" x14ac:dyDescent="0.35">
      <c r="B61" s="2" t="s">
        <v>67</v>
      </c>
      <c r="C61" s="2" t="s">
        <v>76</v>
      </c>
      <c r="D61" s="2" t="s">
        <v>69</v>
      </c>
      <c r="E61" s="2" t="s">
        <v>24</v>
      </c>
      <c r="F61" s="13" t="s">
        <v>46</v>
      </c>
      <c r="G61" s="13" t="s">
        <v>46</v>
      </c>
      <c r="H61" s="13" t="s">
        <v>46</v>
      </c>
      <c r="I61" s="2" t="s">
        <v>46</v>
      </c>
      <c r="J61" s="13" t="s">
        <v>46</v>
      </c>
      <c r="K61" s="13" t="s">
        <v>46</v>
      </c>
      <c r="L61" s="13" t="s">
        <v>46</v>
      </c>
      <c r="M61" s="13" t="s">
        <v>46</v>
      </c>
      <c r="N61" s="2" t="s">
        <v>46</v>
      </c>
    </row>
    <row r="62" spans="2:15" ht="14.5" x14ac:dyDescent="0.35">
      <c r="B62" s="2" t="s">
        <v>67</v>
      </c>
      <c r="C62" s="2" t="s">
        <v>76</v>
      </c>
      <c r="D62" s="2" t="s">
        <v>69</v>
      </c>
      <c r="E62" s="2" t="s">
        <v>25</v>
      </c>
      <c r="F62" s="13" t="s">
        <v>46</v>
      </c>
      <c r="G62" s="13" t="s">
        <v>46</v>
      </c>
      <c r="H62" s="13" t="s">
        <v>46</v>
      </c>
      <c r="I62" s="2" t="s">
        <v>46</v>
      </c>
      <c r="J62" s="13" t="s">
        <v>46</v>
      </c>
      <c r="K62" s="13" t="s">
        <v>46</v>
      </c>
      <c r="L62" s="13" t="s">
        <v>46</v>
      </c>
      <c r="M62" s="13" t="s">
        <v>46</v>
      </c>
      <c r="N62" s="2" t="s">
        <v>46</v>
      </c>
    </row>
    <row r="63" spans="2:15" ht="14.5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5" ht="14.5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 ht="14.5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 ht="14.5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 ht="14.5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 ht="14.5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 ht="14.5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 ht="14.5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 ht="14.5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14.5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 ht="14.5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 ht="14.5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 ht="14.5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 ht="14.5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 ht="14.5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 ht="14.5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 ht="14.5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 ht="14.5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 ht="14.5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 ht="14.5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 ht="14.5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 ht="14.5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 ht="14.5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 ht="14.5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 ht="14.5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 ht="14.5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 ht="14.5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 ht="14.5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 ht="14.5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 ht="14.5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 ht="14.5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 ht="14.5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 ht="14.5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 ht="14.5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2:14" ht="14.5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2:14" ht="14.5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2:14" ht="14.5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2:14" ht="14.5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2:14" ht="14.5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2:14" ht="14.5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2:14" ht="14.5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2:14" ht="14.5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2:14" ht="14.5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2:14" ht="14.5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2:14" ht="14.5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2:14" ht="14.5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2:14" ht="14.5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2:14" ht="14.5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2:14" ht="14.5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2:14" ht="14.5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2:14" ht="14.5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2:14" ht="14.5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2:14" ht="14.5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2:14" ht="14.5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2:14" ht="14.5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2:14" ht="14.5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2:14" ht="14.5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2:14" ht="14.5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2:14" ht="14.5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2:14" ht="14.5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2:14" ht="14.5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2:14" ht="14.5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2:14" ht="14.5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2:14" ht="14.5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2:14" ht="14.5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2:14" ht="14.5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2:14" ht="14.5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2:14" ht="14.5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2:14" ht="14.5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2:14" ht="14.5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2:14" ht="14.5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2:14" ht="14.5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2:14" ht="14.5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2:14" ht="14.5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2:14" ht="14.5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2:14" ht="14.5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2:14" ht="14.5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2:14" ht="14.5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2:14" ht="14.5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2:14" ht="14.5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2:14" ht="14.5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2:14" ht="14.5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2:14" ht="14.5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2:14" ht="14.5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2:14" ht="14.5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2:14" ht="14.5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2:14" ht="14.5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2:14" ht="14.5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2:14" ht="14.5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2:14" ht="14.5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2:14" ht="14.5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2:14" ht="14.5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2:14" ht="14.5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2:14" ht="14.5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2:14" ht="14.5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2:14" ht="14.5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2:14" ht="14.5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2:14" ht="14.5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2:14" ht="14.5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2:14" ht="14.5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2:14" ht="14.5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2:14" ht="14.5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2:14" ht="14.5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2:14" ht="14.5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2:14" ht="14.5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2:14" ht="14.5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2:14" ht="14.5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2:14" ht="14.5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2:14" ht="14.5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2:14" ht="14.5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2:14" ht="14.5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2:14" ht="14.5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2:14" ht="14.5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2:14" ht="14.5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2:14" ht="14.5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2:14" ht="14.5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2:14" ht="14.5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2:14" ht="14.5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2:14" ht="14.5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2:14" ht="14.5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2:14" ht="14.5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2:14" ht="14.5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2:14" ht="14.5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2:14" ht="14.5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2:14" ht="14.5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2:14" ht="14.5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2:14" ht="14.5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2:14" ht="14.5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2:14" ht="14.5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2:14" ht="14.5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2:14" ht="14.5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2:14" ht="14.5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2:14" ht="14.5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2:14" ht="14.5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2:14" ht="14.5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2:14" ht="14.5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2:14" ht="14.5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2:14" ht="14.5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2:14" ht="14.5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2:14" ht="14.5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2:14" ht="14.5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2:14" ht="14.5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2:14" ht="14.5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2:14" ht="14.5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2:14" ht="14.5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2:14" ht="14.5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2:14" ht="14.5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2:14" ht="14.5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2:14" ht="14.5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2:14" ht="14.5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2:14" ht="14.5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2:14" ht="14.5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2:14" ht="14.5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2:14" ht="14.5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2:14" ht="14.5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2:14" ht="14.5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2:14" ht="14.5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2:14" ht="14.5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2:14" ht="14.5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2:14" ht="14.5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2:14" ht="14.5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2:14" ht="14.5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2:14" ht="14.5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2:14" ht="14.5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2:14" ht="14.5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2:14" ht="14.5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2:14" ht="14.5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2:14" ht="14.5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2:14" ht="14.5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2:14" ht="14.5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2:14" ht="14.5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2:14" ht="14.5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2:14" ht="14.5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2:14" ht="14.5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2:14" ht="14.5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2:14" ht="14.5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2:14" ht="14.5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2:14" ht="14.5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2:14" ht="14.5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2:14" ht="14.5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2:14" ht="14.5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2:14" ht="14.5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2:14" ht="14.5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2:14" ht="14.5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2:14" ht="14.5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2:14" ht="14.5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2:14" ht="14.5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2:14" ht="14.5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2:14" ht="14.5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2:14" ht="14.5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2:14" ht="14.5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2:14" ht="14.5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2:14" ht="14.5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2:14" ht="14.5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2:14" ht="14.5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2:14" ht="14.5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2:14" ht="14.5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2:14" ht="14.5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2:14" ht="14.5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2:14" ht="14.5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2:14" ht="14.5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2:14" ht="14.5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2:14" ht="14.5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2:14" ht="14.5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2:14" ht="14.5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2:14" ht="14.5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2:14" ht="14.5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2:14" ht="14.5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2:14" ht="14.5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2:14" ht="14.5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2:14" ht="14.5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2:14" ht="14.5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2:14" ht="14.5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2:14" ht="14.5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2:14" ht="14.5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2:14" ht="14.5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2:14" ht="14.5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2:14" ht="14.5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2:14" ht="14.5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2:14" ht="14.5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2:14" ht="14.5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2:14" ht="14.5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2:14" ht="14.5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2:14" ht="14.5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2:14" ht="14.5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2:14" ht="14.5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2:14" ht="14.5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2:14" ht="14.5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2:14" ht="14.5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2:14" ht="14.5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2:14" ht="14.5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2:14" ht="14.5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2:14" ht="14.5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2:14" ht="14.5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2:14" ht="14.5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2:14" ht="14.5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2:14" ht="14.5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2:14" ht="14.5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2:14" ht="14.5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2:14" ht="14.5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2:14" ht="14.5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2:14" ht="14.5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2:14" ht="14.5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2:14" ht="14.5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2:14" ht="14.5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2:14" ht="14.5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2:14" ht="14.5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2:14" ht="14.5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2:14" ht="14.5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2:14" ht="14.5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2:14" ht="14.5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2:14" ht="14.5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2:14" ht="14.5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2:14" ht="14.5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2:14" ht="14.5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2:14" ht="14.5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2:14" ht="14.5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2:14" ht="14.5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2:14" ht="14.5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2:14" ht="14.5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2:14" ht="14.5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2:14" ht="14.5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2:14" ht="14.5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2:14" ht="14.5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2:14" ht="14.5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2:14" ht="14.5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2:14" ht="14.5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2:14" ht="14.5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2:14" ht="14.5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2:14" ht="14.5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2:14" ht="14.5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2:14" ht="14.5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2:14" ht="14.5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2:14" ht="14.5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2:14" ht="14.5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2:14" ht="14.5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2:14" ht="14.5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2:14" ht="14.5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2:14" ht="14.5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2:14" ht="14.5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2:14" ht="14.5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2:14" ht="14.5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2:14" ht="14.5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2:14" ht="14.5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2:14" ht="14.5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2:14" ht="14.5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2:14" ht="14.5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2:14" ht="14.5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2:14" ht="14.5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2:14" ht="14.5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2:14" ht="14.5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2:14" ht="14.5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2:14" ht="14.5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2:14" ht="14.5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2:14" ht="14.5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2:14" ht="14.5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2:14" ht="14.5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2:14" ht="14.5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2:14" ht="14.5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2:14" ht="14.5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2:14" ht="14.5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2:14" ht="14.5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2:14" ht="14.5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2:14" ht="14.5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2:14" ht="14.5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2:14" ht="14.5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2:14" ht="14.5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2:14" ht="14.5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2:14" ht="14.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2:14" ht="14.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2:14" ht="14.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2:14" ht="14.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2:14" ht="14.5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2:14" ht="14.5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2:14" ht="14.5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2:14" ht="14.5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2:14" ht="14.5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2:14" ht="14.5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2:14" ht="14.5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2:14" ht="14.5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2:14" ht="14.5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2:14" ht="14.5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2:14" ht="14.5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2:14" ht="14.5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2:14" ht="14.5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2:14" ht="14.5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2:14" ht="14.5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2:14" ht="14.5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2:14" ht="14.5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2:14" ht="14.5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2:14" ht="14.5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2:14" ht="14.5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2:14" ht="14.5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2:14" ht="14.5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2:14" ht="14.5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2:14" ht="14.5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2:14" ht="14.5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2:14" ht="14.5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2:14" ht="14.5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2:14" ht="14.5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2:14" ht="14.5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2:14" ht="14.5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2:14" ht="14.5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2:14" ht="14.5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2:14" ht="14.5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2:14" ht="14.5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2:14" ht="14.5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2:14" ht="14.5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2:14" ht="14.5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2:14" ht="14.5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2:14" ht="14.5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2:14" ht="14.5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2:14" ht="14.5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2:14" ht="14.5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2:14" ht="14.5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2:14" ht="14.5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2:14" ht="14.5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2:14" ht="14.5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2:14" ht="14.5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</sheetData>
  <autoFilter ref="B4:O62" xr:uid="{8FF446B9-C110-46E9-9309-32BA9BA7BACA}"/>
  <mergeCells count="3">
    <mergeCell ref="F3:G3"/>
    <mergeCell ref="H3:J3"/>
    <mergeCell ref="K3:N3"/>
  </mergeCells>
  <dataValidations count="2">
    <dataValidation type="list" allowBlank="1" showInputMessage="1" showErrorMessage="1" sqref="E5:E298" xr:uid="{607080FC-3204-43C2-9413-CADBFF84D387}">
      <formula1>"January, February"</formula1>
    </dataValidation>
    <dataValidation type="list" allowBlank="1" showInputMessage="1" showErrorMessage="1" sqref="B5:B598" xr:uid="{FE33779F-F86D-4005-8F70-751D6B7C8855}">
      <formula1>"Aviation, Castrol, CRM"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6624-DCDC-47A1-903C-3877A62483E0}">
  <dimension ref="B2:J36"/>
  <sheetViews>
    <sheetView workbookViewId="0">
      <selection activeCell="C28" sqref="C28:G30"/>
    </sheetView>
  </sheetViews>
  <sheetFormatPr defaultRowHeight="14.5" x14ac:dyDescent="0.35"/>
  <cols>
    <col min="2" max="3" width="10.81640625" customWidth="1"/>
    <col min="7" max="10" width="8.7265625" style="16"/>
  </cols>
  <sheetData>
    <row r="2" spans="2:10" x14ac:dyDescent="0.35">
      <c r="D2" s="25" t="s">
        <v>0</v>
      </c>
      <c r="E2" s="25"/>
      <c r="F2" s="25"/>
      <c r="G2" s="26" t="s">
        <v>1</v>
      </c>
      <c r="H2" s="26"/>
      <c r="I2" s="26"/>
      <c r="J2" s="26"/>
    </row>
    <row r="3" spans="2:10" ht="60" x14ac:dyDescent="0.35">
      <c r="D3" s="4" t="s">
        <v>8</v>
      </c>
      <c r="E3" s="4" t="s">
        <v>9</v>
      </c>
      <c r="F3" s="4" t="s">
        <v>10</v>
      </c>
      <c r="G3" s="5" t="s">
        <v>11</v>
      </c>
      <c r="H3" s="5" t="s">
        <v>12</v>
      </c>
      <c r="I3" s="5" t="s">
        <v>13</v>
      </c>
      <c r="J3" s="5" t="s">
        <v>14</v>
      </c>
    </row>
    <row r="4" spans="2:10" x14ac:dyDescent="0.35">
      <c r="B4" t="s">
        <v>21</v>
      </c>
      <c r="C4" t="s">
        <v>24</v>
      </c>
      <c r="D4" s="16">
        <f>SUMIFS(Support!F:F,Support!B:B,'Roll up - Support'!B4,Support!E:E,'Roll up - Support'!C4)</f>
        <v>117</v>
      </c>
      <c r="E4" s="16">
        <f>SUMIFS(Support!G:G,Support!B:B,'Roll up - Support'!B4,Support!E:E,'Roll up - Support'!C4)</f>
        <v>0</v>
      </c>
      <c r="F4" s="16">
        <f>SUMIFS(Support!H:H,Support!B:B,'Roll up - Support'!B4,Support!E:E,'Roll up - Support'!C4)</f>
        <v>0</v>
      </c>
      <c r="G4" s="16">
        <f>SUMIFS(Support!I:I,Support!B:B,'Roll up - Support'!B4,Support!E:E,'Roll up - Support'!C4)</f>
        <v>192</v>
      </c>
      <c r="H4" s="16">
        <f>SUMIFS(Support!J:J,Support!B:B,'Roll up - Support'!B4,Support!E:E,'Roll up - Support'!C4)</f>
        <v>0</v>
      </c>
      <c r="I4" s="16">
        <f>SUMIFS(Support!K:K,Support!B:B,'Roll up - Support'!B4,Support!E:E,'Roll up - Support'!C4)</f>
        <v>192</v>
      </c>
      <c r="J4" s="16">
        <f>SUMIFS(Support!L:L,Support!B:B,'Roll up - Support'!B4,Support!E:E,'Roll up - Support'!C4)</f>
        <v>0</v>
      </c>
    </row>
    <row r="5" spans="2:10" x14ac:dyDescent="0.35">
      <c r="B5" t="s">
        <v>21</v>
      </c>
      <c r="C5" t="s">
        <v>25</v>
      </c>
      <c r="D5" s="16">
        <f>SUMIFS(Support!F:F,Support!B:B,'Roll up - Support'!B5,Support!E:E,'Roll up - Support'!C5)</f>
        <v>133</v>
      </c>
      <c r="E5" s="16">
        <f>SUMIFS(Support!G:G,Support!B:B,'Roll up - Support'!B5,Support!E:E,'Roll up - Support'!C5)</f>
        <v>0</v>
      </c>
      <c r="F5" s="16">
        <f>SUMIFS(Support!H:H,Support!B:B,'Roll up - Support'!B5,Support!E:E,'Roll up - Support'!C5)</f>
        <v>0</v>
      </c>
      <c r="G5" s="16">
        <f>SUMIFS(Support!I:I,Support!B:B,'Roll up - Support'!B5,Support!E:E,'Roll up - Support'!C5)</f>
        <v>211</v>
      </c>
      <c r="H5" s="16">
        <f>SUMIFS(Support!J:J,Support!B:B,'Roll up - Support'!B5,Support!E:E,'Roll up - Support'!C5)</f>
        <v>7</v>
      </c>
      <c r="I5" s="16">
        <f>SUMIFS(Support!K:K,Support!B:B,'Roll up - Support'!B5,Support!E:E,'Roll up - Support'!C5)</f>
        <v>204</v>
      </c>
      <c r="J5" s="16">
        <f>SUMIFS(Support!L:L,Support!B:B,'Roll up - Support'!B5,Support!E:E,'Roll up - Support'!C5)</f>
        <v>0</v>
      </c>
    </row>
    <row r="6" spans="2:10" x14ac:dyDescent="0.35">
      <c r="B6" t="s">
        <v>39</v>
      </c>
      <c r="C6" t="s">
        <v>24</v>
      </c>
      <c r="D6" s="16">
        <f>SUMIFS(Support!F:F,Support!B:B,'Roll up - Support'!B6,Support!E:E,'Roll up - Support'!C6)</f>
        <v>65</v>
      </c>
      <c r="E6" s="16">
        <f>SUMIFS(Support!G:G,Support!B:B,'Roll up - Support'!B6,Support!E:E,'Roll up - Support'!C6)</f>
        <v>0</v>
      </c>
      <c r="F6" s="16">
        <f>SUMIFS(Support!H:H,Support!B:B,'Roll up - Support'!B6,Support!E:E,'Roll up - Support'!C6)</f>
        <v>0</v>
      </c>
      <c r="G6" s="16">
        <f>SUMIFS(Support!I:I,Support!B:B,'Roll up - Support'!B6,Support!E:E,'Roll up - Support'!C6)</f>
        <v>122</v>
      </c>
      <c r="H6" s="16">
        <f>SUMIFS(Support!J:J,Support!B:B,'Roll up - Support'!B6,Support!E:E,'Roll up - Support'!C6)</f>
        <v>0</v>
      </c>
      <c r="I6" s="16">
        <f>SUMIFS(Support!K:K,Support!B:B,'Roll up - Support'!B6,Support!E:E,'Roll up - Support'!C6)</f>
        <v>122</v>
      </c>
      <c r="J6" s="16">
        <f>SUMIFS(Support!L:L,Support!B:B,'Roll up - Support'!B6,Support!E:E,'Roll up - Support'!C6)</f>
        <v>0</v>
      </c>
    </row>
    <row r="7" spans="2:10" x14ac:dyDescent="0.35">
      <c r="B7" t="s">
        <v>39</v>
      </c>
      <c r="C7" t="s">
        <v>25</v>
      </c>
      <c r="D7" s="16">
        <f>SUMIFS(Support!F:F,Support!B:B,'Roll up - Support'!B7,Support!E:E,'Roll up - Support'!C7)</f>
        <v>60</v>
      </c>
      <c r="E7" s="16">
        <f>SUMIFS(Support!G:G,Support!B:B,'Roll up - Support'!B7,Support!E:E,'Roll up - Support'!C7)</f>
        <v>0</v>
      </c>
      <c r="F7" s="16">
        <f>SUMIFS(Support!H:H,Support!B:B,'Roll up - Support'!B7,Support!E:E,'Roll up - Support'!C7)</f>
        <v>0</v>
      </c>
      <c r="G7" s="16">
        <f>SUMIFS(Support!I:I,Support!B:B,'Roll up - Support'!B7,Support!E:E,'Roll up - Support'!C7)</f>
        <v>106</v>
      </c>
      <c r="H7" s="16">
        <f>SUMIFS(Support!J:J,Support!B:B,'Roll up - Support'!B7,Support!E:E,'Roll up - Support'!C7)</f>
        <v>0</v>
      </c>
      <c r="I7" s="16">
        <f>SUMIFS(Support!K:K,Support!B:B,'Roll up - Support'!B7,Support!E:E,'Roll up - Support'!C7)</f>
        <v>106</v>
      </c>
      <c r="J7" s="16">
        <f>SUMIFS(Support!L:L,Support!B:B,'Roll up - Support'!B7,Support!E:E,'Roll up - Support'!C7)</f>
        <v>0</v>
      </c>
    </row>
    <row r="8" spans="2:10" x14ac:dyDescent="0.35">
      <c r="D8" s="16"/>
      <c r="E8" s="16"/>
      <c r="F8" s="16"/>
    </row>
    <row r="9" spans="2:10" x14ac:dyDescent="0.35">
      <c r="D9" s="16"/>
      <c r="E9" s="16"/>
      <c r="F9" s="16"/>
    </row>
    <row r="10" spans="2:10" ht="60" x14ac:dyDescent="0.35">
      <c r="D10" s="4" t="s">
        <v>8</v>
      </c>
      <c r="E10" s="4" t="s">
        <v>9</v>
      </c>
      <c r="F10" s="4" t="s">
        <v>10</v>
      </c>
      <c r="G10" s="5" t="s">
        <v>11</v>
      </c>
      <c r="H10" s="5" t="s">
        <v>12</v>
      </c>
      <c r="I10" s="5" t="s">
        <v>13</v>
      </c>
      <c r="J10" s="5" t="s">
        <v>14</v>
      </c>
    </row>
    <row r="11" spans="2:10" x14ac:dyDescent="0.35">
      <c r="C11" t="s">
        <v>24</v>
      </c>
      <c r="D11" s="22">
        <f>SUMIF(C4:C7,C11,D4:D7)</f>
        <v>182</v>
      </c>
      <c r="E11" s="22">
        <f t="shared" ref="E11:J11" si="0">SUMIF(D4:D7,D11,E4:E7)</f>
        <v>0</v>
      </c>
      <c r="F11" s="22">
        <f t="shared" si="0"/>
        <v>0</v>
      </c>
      <c r="G11" s="22">
        <f t="shared" si="0"/>
        <v>631</v>
      </c>
      <c r="H11" s="22">
        <f t="shared" si="0"/>
        <v>0</v>
      </c>
      <c r="I11" s="22">
        <f t="shared" si="0"/>
        <v>420</v>
      </c>
      <c r="J11" s="22">
        <f t="shared" si="0"/>
        <v>0</v>
      </c>
    </row>
    <row r="12" spans="2:10" x14ac:dyDescent="0.35">
      <c r="C12" t="s">
        <v>25</v>
      </c>
      <c r="D12" s="22">
        <f>SUMIF(C5:C8,C12,D5:D8)</f>
        <v>193</v>
      </c>
      <c r="E12" s="22">
        <f t="shared" ref="E12:J12" si="1">SUMIF(D5:D8,D12,E5:E8)</f>
        <v>0</v>
      </c>
      <c r="F12" s="22">
        <f t="shared" si="1"/>
        <v>0</v>
      </c>
      <c r="G12" s="22">
        <f t="shared" si="1"/>
        <v>439</v>
      </c>
      <c r="H12" s="22">
        <f t="shared" si="1"/>
        <v>0</v>
      </c>
      <c r="I12" s="22">
        <f t="shared" si="1"/>
        <v>228</v>
      </c>
      <c r="J12" s="22">
        <f t="shared" si="1"/>
        <v>0</v>
      </c>
    </row>
    <row r="13" spans="2:10" x14ac:dyDescent="0.35">
      <c r="D13" s="16"/>
      <c r="E13" s="16"/>
      <c r="F13" s="16"/>
    </row>
    <row r="14" spans="2:10" x14ac:dyDescent="0.35">
      <c r="D14" s="16"/>
      <c r="E14" s="16"/>
      <c r="F14" s="16"/>
    </row>
    <row r="15" spans="2:10" x14ac:dyDescent="0.35">
      <c r="D15" s="16"/>
      <c r="E15" s="16"/>
      <c r="F15" s="16"/>
    </row>
    <row r="16" spans="2:10" ht="60" x14ac:dyDescent="0.35">
      <c r="B16" t="s">
        <v>39</v>
      </c>
      <c r="D16" s="4" t="s">
        <v>8</v>
      </c>
      <c r="E16" s="4" t="s">
        <v>9</v>
      </c>
      <c r="F16" s="4" t="s">
        <v>10</v>
      </c>
    </row>
    <row r="17" spans="2:7" x14ac:dyDescent="0.35">
      <c r="C17" t="s">
        <v>24</v>
      </c>
      <c r="D17" s="16">
        <v>65</v>
      </c>
      <c r="E17" s="16">
        <v>0</v>
      </c>
      <c r="F17" s="16">
        <v>0</v>
      </c>
    </row>
    <row r="18" spans="2:7" x14ac:dyDescent="0.35">
      <c r="C18" t="s">
        <v>25</v>
      </c>
      <c r="D18" s="16">
        <v>60</v>
      </c>
      <c r="E18" s="16">
        <v>0</v>
      </c>
      <c r="F18" s="16">
        <v>0</v>
      </c>
    </row>
    <row r="19" spans="2:7" x14ac:dyDescent="0.35">
      <c r="D19" s="16"/>
      <c r="E19" s="16"/>
      <c r="F19" s="16"/>
    </row>
    <row r="20" spans="2:7" ht="36" x14ac:dyDescent="0.35">
      <c r="D20" s="5" t="s">
        <v>11</v>
      </c>
      <c r="E20" s="5" t="s">
        <v>12</v>
      </c>
      <c r="F20" s="5" t="s">
        <v>13</v>
      </c>
      <c r="G20" s="5" t="s">
        <v>14</v>
      </c>
    </row>
    <row r="21" spans="2:7" x14ac:dyDescent="0.35">
      <c r="C21" t="s">
        <v>24</v>
      </c>
      <c r="D21" s="16">
        <v>122</v>
      </c>
      <c r="E21" s="16">
        <v>0</v>
      </c>
      <c r="F21" s="16">
        <v>122</v>
      </c>
      <c r="G21" s="16">
        <v>0</v>
      </c>
    </row>
    <row r="22" spans="2:7" x14ac:dyDescent="0.35">
      <c r="C22" t="s">
        <v>25</v>
      </c>
      <c r="D22" s="16">
        <v>106</v>
      </c>
      <c r="E22" s="16">
        <v>0</v>
      </c>
      <c r="F22" s="16">
        <v>106</v>
      </c>
      <c r="G22" s="16">
        <v>0</v>
      </c>
    </row>
    <row r="23" spans="2:7" x14ac:dyDescent="0.35">
      <c r="D23" s="16"/>
      <c r="E23" s="16"/>
      <c r="F23" s="16"/>
    </row>
    <row r="24" spans="2:7" x14ac:dyDescent="0.35">
      <c r="D24" s="16"/>
      <c r="E24" s="16"/>
      <c r="F24" s="16"/>
    </row>
    <row r="25" spans="2:7" ht="60" x14ac:dyDescent="0.35">
      <c r="D25" s="4" t="s">
        <v>8</v>
      </c>
      <c r="E25" s="4" t="s">
        <v>9</v>
      </c>
      <c r="F25" s="4" t="s">
        <v>10</v>
      </c>
    </row>
    <row r="26" spans="2:7" x14ac:dyDescent="0.35">
      <c r="B26" t="s">
        <v>21</v>
      </c>
      <c r="C26" t="s">
        <v>24</v>
      </c>
      <c r="D26" s="16">
        <v>115</v>
      </c>
      <c r="E26" s="16">
        <v>0</v>
      </c>
      <c r="F26" s="16">
        <v>0</v>
      </c>
    </row>
    <row r="27" spans="2:7" x14ac:dyDescent="0.35">
      <c r="C27" t="s">
        <v>25</v>
      </c>
      <c r="D27" s="16">
        <v>133</v>
      </c>
      <c r="E27" s="16">
        <v>0</v>
      </c>
      <c r="F27" s="16">
        <v>0</v>
      </c>
    </row>
    <row r="28" spans="2:7" x14ac:dyDescent="0.35">
      <c r="D28" s="16" t="s">
        <v>11</v>
      </c>
      <c r="E28" s="16" t="s">
        <v>12</v>
      </c>
      <c r="F28" s="16" t="s">
        <v>13</v>
      </c>
      <c r="G28" s="16" t="s">
        <v>14</v>
      </c>
    </row>
    <row r="29" spans="2:7" x14ac:dyDescent="0.35">
      <c r="C29" t="s">
        <v>24</v>
      </c>
      <c r="D29" s="16">
        <v>163</v>
      </c>
      <c r="E29" s="16">
        <v>0</v>
      </c>
      <c r="F29" s="16">
        <v>163</v>
      </c>
      <c r="G29" s="16">
        <v>0</v>
      </c>
    </row>
    <row r="30" spans="2:7" x14ac:dyDescent="0.35">
      <c r="C30" t="s">
        <v>25</v>
      </c>
      <c r="D30" s="16">
        <v>59</v>
      </c>
      <c r="E30" s="16">
        <v>0</v>
      </c>
      <c r="F30" s="16">
        <v>59</v>
      </c>
      <c r="G30" s="16">
        <v>0</v>
      </c>
    </row>
    <row r="31" spans="2:7" x14ac:dyDescent="0.35">
      <c r="D31" s="16"/>
      <c r="E31" s="16"/>
      <c r="F31" s="16"/>
    </row>
    <row r="32" spans="2:7" x14ac:dyDescent="0.35">
      <c r="D32" s="16"/>
      <c r="E32" s="16"/>
      <c r="F32" s="16"/>
    </row>
    <row r="33" spans="4:6" x14ac:dyDescent="0.35">
      <c r="D33" s="16"/>
      <c r="E33" s="16"/>
      <c r="F33" s="16"/>
    </row>
    <row r="34" spans="4:6" x14ac:dyDescent="0.35">
      <c r="D34" s="16"/>
      <c r="E34" s="16"/>
      <c r="F34" s="16"/>
    </row>
    <row r="35" spans="4:6" x14ac:dyDescent="0.35">
      <c r="D35" s="16"/>
      <c r="E35" s="16"/>
      <c r="F35" s="16"/>
    </row>
    <row r="36" spans="4:6" x14ac:dyDescent="0.35">
      <c r="D36" s="16"/>
      <c r="E36" s="16"/>
      <c r="F36" s="16"/>
    </row>
  </sheetData>
  <mergeCells count="2">
    <mergeCell ref="D2:F2"/>
    <mergeCell ref="G2:J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484E-CC99-48C6-8EAC-E8D8DCDEED41}">
  <dimension ref="B2:I51"/>
  <sheetViews>
    <sheetView topLeftCell="A46" workbookViewId="0">
      <selection activeCell="P56" sqref="P56"/>
    </sheetView>
  </sheetViews>
  <sheetFormatPr defaultRowHeight="14.5" x14ac:dyDescent="0.35"/>
  <sheetData>
    <row r="2" spans="2:8" x14ac:dyDescent="0.35">
      <c r="D2" s="31" t="s">
        <v>52</v>
      </c>
      <c r="E2" s="31"/>
      <c r="F2" s="32" t="s">
        <v>53</v>
      </c>
      <c r="G2" s="32"/>
      <c r="H2" s="32"/>
    </row>
    <row r="3" spans="2:8" ht="108" x14ac:dyDescent="0.35">
      <c r="D3" s="7" t="s">
        <v>55</v>
      </c>
      <c r="E3" s="7" t="s">
        <v>56</v>
      </c>
      <c r="F3" s="8" t="s">
        <v>57</v>
      </c>
      <c r="G3" s="8" t="s">
        <v>58</v>
      </c>
      <c r="H3" s="8" t="s">
        <v>59</v>
      </c>
    </row>
    <row r="4" spans="2:8" x14ac:dyDescent="0.35">
      <c r="B4" t="s">
        <v>21</v>
      </c>
      <c r="C4" t="s">
        <v>24</v>
      </c>
      <c r="D4" s="20">
        <f>AVERAGEIFS(Development!F:F,Development!B:B,'Roll up - Dev'!B4,Development!E:E,'Roll up - Dev'!C4)</f>
        <v>0.85641025641025637</v>
      </c>
      <c r="E4" s="20">
        <f>AVERAGEIFS(Development!G:G,Development!B:B,'Roll up - Dev'!B4,Development!E:E,'Roll up - Dev'!C4)</f>
        <v>0.75</v>
      </c>
      <c r="F4" s="20">
        <f>AVERAGEIFS(Development!H:H,Development!B:B,'Roll up - Dev'!B4,Development!E:E,'Roll up - Dev'!C4)</f>
        <v>1</v>
      </c>
      <c r="G4" s="21">
        <f>SUMIFS(Development!I:I,Development!B:B,'Roll up - Dev'!B4,Development!D:D,'Roll up - Dev'!C4)</f>
        <v>0</v>
      </c>
      <c r="H4" s="20">
        <f>AVERAGEIFS(Development!J:J,Development!B:B,'Roll up - Dev'!B4,Development!E:E,'Roll up - Dev'!C4)</f>
        <v>0.81</v>
      </c>
    </row>
    <row r="5" spans="2:8" x14ac:dyDescent="0.35">
      <c r="B5" t="s">
        <v>21</v>
      </c>
      <c r="C5" t="s">
        <v>25</v>
      </c>
      <c r="D5" s="20">
        <f>AVERAGEIFS(Development!F:F,Development!B:B,'Roll up - Dev'!B5,Development!E:E,'Roll up - Dev'!C5)</f>
        <v>0.96</v>
      </c>
      <c r="E5" s="20">
        <f>AVERAGEIFS(Development!G:G,Development!B:B,'Roll up - Dev'!B5,Development!E:E,'Roll up - Dev'!C5)</f>
        <v>0.56284999999999996</v>
      </c>
      <c r="F5" s="20">
        <f>AVERAGEIFS(Development!H:H,Development!B:B,'Roll up - Dev'!B5,Development!E:E,'Roll up - Dev'!C5)</f>
        <v>1</v>
      </c>
      <c r="G5" s="21">
        <f>SUMIFS(Development!I:I,Development!B:B,'Roll up - Dev'!B5,Development!D:D,'Roll up - Dev'!C5)</f>
        <v>0</v>
      </c>
      <c r="H5" s="20">
        <f>AVERAGEIFS(Development!J:J,Development!B:B,'Roll up - Dev'!B5,Development!E:E,'Roll up - Dev'!C5)</f>
        <v>0.85499999999999998</v>
      </c>
    </row>
    <row r="6" spans="2:8" x14ac:dyDescent="0.35">
      <c r="B6" t="s">
        <v>39</v>
      </c>
      <c r="C6" t="s">
        <v>24</v>
      </c>
      <c r="D6" s="20" t="e">
        <f>AVERAGEIFS(Development!F:F,Development!B:B,'Roll up - Dev'!B6,Development!E:E,'Roll up - Dev'!C6)</f>
        <v>#DIV/0!</v>
      </c>
      <c r="E6" s="20" t="e">
        <f>AVERAGEIFS(Development!G:G,Development!B:B,'Roll up - Dev'!B6,Development!E:E,'Roll up - Dev'!C6)</f>
        <v>#DIV/0!</v>
      </c>
      <c r="F6" s="20">
        <f>AVERAGEIFS(Development!H:H,Development!B:B,'Roll up - Dev'!B6,Development!E:E,'Roll up - Dev'!C6)</f>
        <v>1</v>
      </c>
      <c r="G6" s="21">
        <f>SUMIFS(Development!I:I,Development!B:B,'Roll up - Dev'!B6,Development!D:D,'Roll up - Dev'!C6)</f>
        <v>0</v>
      </c>
      <c r="H6" s="20"/>
    </row>
    <row r="7" spans="2:8" x14ac:dyDescent="0.35">
      <c r="B7" t="s">
        <v>39</v>
      </c>
      <c r="C7" t="s">
        <v>25</v>
      </c>
      <c r="D7" s="20" t="e">
        <f>AVERAGEIFS(Development!F:F,Development!B:B,'Roll up - Dev'!B7,Development!E:E,'Roll up - Dev'!C7)</f>
        <v>#DIV/0!</v>
      </c>
      <c r="E7" s="20" t="e">
        <f>AVERAGEIFS(Development!G:G,Development!B:B,'Roll up - Dev'!B7,Development!E:E,'Roll up - Dev'!C7)</f>
        <v>#DIV/0!</v>
      </c>
      <c r="F7" s="20">
        <f>AVERAGEIFS(Development!H:H,Development!B:B,'Roll up - Dev'!B7,Development!E:E,'Roll up - Dev'!C7)</f>
        <v>1</v>
      </c>
      <c r="G7" s="21">
        <f>SUMIFS(Development!I:I,Development!B:B,'Roll up - Dev'!B7,Development!D:D,'Roll up - Dev'!C7)</f>
        <v>0</v>
      </c>
      <c r="H7" s="20"/>
    </row>
    <row r="8" spans="2:8" x14ac:dyDescent="0.35">
      <c r="B8" t="s">
        <v>67</v>
      </c>
      <c r="C8" t="s">
        <v>24</v>
      </c>
      <c r="D8" s="20">
        <f>AVERAGEIFS(Development!F:F,Development!B:B,'Roll up - Dev'!B8,Development!E:E,'Roll up - Dev'!C8)</f>
        <v>0.94833333333333325</v>
      </c>
      <c r="E8" s="20">
        <f>AVERAGEIFS(Development!G:G,Development!B:B,'Roll up - Dev'!B8,Development!E:E,'Roll up - Dev'!C8)</f>
        <v>0.92500000000000016</v>
      </c>
      <c r="F8" s="20">
        <f>AVERAGEIFS(Development!H:H,Development!B:B,'Roll up - Dev'!B8,Development!E:E,'Roll up - Dev'!C8)</f>
        <v>1</v>
      </c>
      <c r="G8" s="21">
        <f>SUMIFS(Development!I:I,Development!B:B,'Roll up - Dev'!B8,Development!D:D,'Roll up - Dev'!C8)</f>
        <v>0</v>
      </c>
      <c r="H8" s="20">
        <f>AVERAGEIFS(Development!J:J,Development!B:B,'Roll up - Dev'!B8,Development!E:E,'Roll up - Dev'!C8)</f>
        <v>0.875</v>
      </c>
    </row>
    <row r="9" spans="2:8" x14ac:dyDescent="0.35">
      <c r="B9" t="s">
        <v>67</v>
      </c>
      <c r="C9" t="s">
        <v>25</v>
      </c>
      <c r="D9" s="20">
        <f>AVERAGEIFS(Development!F:F,Development!B:B,'Roll up - Dev'!B9,Development!E:E,'Roll up - Dev'!C9)</f>
        <v>0.92499999999999993</v>
      </c>
      <c r="E9" s="20">
        <f>AVERAGEIFS(Development!G:G,Development!B:B,'Roll up - Dev'!B9,Development!E:E,'Roll up - Dev'!C9)</f>
        <v>0.91166666666666674</v>
      </c>
      <c r="F9" s="20">
        <f>AVERAGEIFS(Development!H:H,Development!B:B,'Roll up - Dev'!B9,Development!E:E,'Roll up - Dev'!C9)</f>
        <v>1</v>
      </c>
      <c r="G9" s="21">
        <f>SUMIFS(Development!I:I,Development!B:B,'Roll up - Dev'!B9,Development!D:D,'Roll up - Dev'!C9)</f>
        <v>0</v>
      </c>
      <c r="H9" s="20">
        <f>AVERAGEIFS(Development!J:J,Development!B:B,'Roll up - Dev'!B9,Development!E:E,'Roll up - Dev'!C9)</f>
        <v>0.875</v>
      </c>
    </row>
    <row r="10" spans="2:8" x14ac:dyDescent="0.35">
      <c r="D10" s="16"/>
      <c r="E10" s="16"/>
      <c r="F10" s="16"/>
      <c r="G10" s="16"/>
      <c r="H10" s="16"/>
    </row>
    <row r="11" spans="2:8" x14ac:dyDescent="0.35">
      <c r="D11" s="16"/>
      <c r="E11" s="16"/>
      <c r="F11" s="16"/>
      <c r="G11" s="16"/>
      <c r="H11" s="16"/>
    </row>
    <row r="12" spans="2:8" ht="108" x14ac:dyDescent="0.35">
      <c r="D12" s="7" t="s">
        <v>55</v>
      </c>
      <c r="E12" s="7" t="s">
        <v>56</v>
      </c>
      <c r="F12" s="8" t="s">
        <v>57</v>
      </c>
      <c r="G12" s="8" t="s">
        <v>58</v>
      </c>
      <c r="H12" s="8" t="s">
        <v>59</v>
      </c>
    </row>
    <row r="13" spans="2:8" x14ac:dyDescent="0.35">
      <c r="C13" t="s">
        <v>24</v>
      </c>
      <c r="D13" s="23" t="e">
        <f t="shared" ref="D13:G14" si="0">SUM(D4,D6,D8)/3</f>
        <v>#DIV/0!</v>
      </c>
      <c r="E13" s="23" t="e">
        <f t="shared" si="0"/>
        <v>#DIV/0!</v>
      </c>
      <c r="F13" s="23">
        <f t="shared" si="0"/>
        <v>1</v>
      </c>
      <c r="G13" s="24">
        <f t="shared" si="0"/>
        <v>0</v>
      </c>
      <c r="H13" s="23">
        <f>SUM(H4,H8)/2</f>
        <v>0.84250000000000003</v>
      </c>
    </row>
    <row r="14" spans="2:8" x14ac:dyDescent="0.35">
      <c r="C14" t="s">
        <v>25</v>
      </c>
      <c r="D14" s="23" t="e">
        <f t="shared" si="0"/>
        <v>#DIV/0!</v>
      </c>
      <c r="E14" s="23" t="e">
        <f t="shared" si="0"/>
        <v>#DIV/0!</v>
      </c>
      <c r="F14" s="23">
        <f t="shared" si="0"/>
        <v>1</v>
      </c>
      <c r="G14" s="24">
        <f t="shared" si="0"/>
        <v>0</v>
      </c>
      <c r="H14" s="23">
        <f>SUM(H5,H9)/2</f>
        <v>0.86499999999999999</v>
      </c>
    </row>
    <row r="20" spans="2:9" ht="108" x14ac:dyDescent="0.35">
      <c r="D20" s="7" t="s">
        <v>55</v>
      </c>
      <c r="E20" s="7" t="s">
        <v>56</v>
      </c>
    </row>
    <row r="21" spans="2:9" x14ac:dyDescent="0.35">
      <c r="B21" t="s">
        <v>67</v>
      </c>
      <c r="C21" t="s">
        <v>24</v>
      </c>
      <c r="D21" s="19">
        <v>0.94833333333333325</v>
      </c>
      <c r="E21" s="19">
        <v>0.92500000000000016</v>
      </c>
      <c r="I21" s="19"/>
    </row>
    <row r="22" spans="2:9" x14ac:dyDescent="0.35">
      <c r="B22" t="s">
        <v>67</v>
      </c>
      <c r="C22" t="s">
        <v>25</v>
      </c>
      <c r="D22" s="19">
        <v>0.92499999999999993</v>
      </c>
      <c r="E22" s="19">
        <v>0.91166666666666674</v>
      </c>
      <c r="I22" s="19"/>
    </row>
    <row r="28" spans="2:9" ht="72" x14ac:dyDescent="0.35">
      <c r="D28" s="8" t="s">
        <v>57</v>
      </c>
      <c r="E28" s="8" t="s">
        <v>58</v>
      </c>
      <c r="F28" s="8" t="s">
        <v>59</v>
      </c>
    </row>
    <row r="29" spans="2:9" x14ac:dyDescent="0.35">
      <c r="C29" t="s">
        <v>24</v>
      </c>
      <c r="D29" s="19">
        <v>1</v>
      </c>
      <c r="E29">
        <v>0</v>
      </c>
      <c r="F29" s="19">
        <v>0.875</v>
      </c>
    </row>
    <row r="30" spans="2:9" x14ac:dyDescent="0.35">
      <c r="C30" t="s">
        <v>25</v>
      </c>
      <c r="D30" s="19">
        <v>1</v>
      </c>
      <c r="E30">
        <v>0</v>
      </c>
      <c r="F30" s="19">
        <v>0.875</v>
      </c>
    </row>
    <row r="33" spans="2:6" ht="108" x14ac:dyDescent="0.35">
      <c r="B33" t="s">
        <v>39</v>
      </c>
      <c r="D33" s="7" t="s">
        <v>55</v>
      </c>
      <c r="E33" s="7" t="s">
        <v>56</v>
      </c>
    </row>
    <row r="34" spans="2:6" x14ac:dyDescent="0.35">
      <c r="C34" t="s">
        <v>24</v>
      </c>
      <c r="D34" s="19">
        <v>0.4</v>
      </c>
      <c r="E34" s="19">
        <v>1</v>
      </c>
    </row>
    <row r="35" spans="2:6" x14ac:dyDescent="0.35">
      <c r="C35" t="s">
        <v>25</v>
      </c>
      <c r="D35" s="19">
        <v>0.3</v>
      </c>
      <c r="E35" s="19">
        <v>0.89</v>
      </c>
    </row>
    <row r="37" spans="2:6" ht="72" x14ac:dyDescent="0.35">
      <c r="D37" s="8" t="s">
        <v>57</v>
      </c>
      <c r="E37" s="8" t="s">
        <v>58</v>
      </c>
      <c r="F37" s="8" t="s">
        <v>59</v>
      </c>
    </row>
    <row r="38" spans="2:6" x14ac:dyDescent="0.35">
      <c r="C38" t="s">
        <v>24</v>
      </c>
      <c r="D38" s="19">
        <v>1</v>
      </c>
      <c r="E38" s="19">
        <v>0</v>
      </c>
      <c r="F38" s="19"/>
    </row>
    <row r="39" spans="2:6" x14ac:dyDescent="0.35">
      <c r="C39" t="s">
        <v>25</v>
      </c>
      <c r="D39" s="19">
        <v>1</v>
      </c>
      <c r="E39" s="19">
        <v>0</v>
      </c>
      <c r="F39" s="19"/>
    </row>
    <row r="44" spans="2:6" x14ac:dyDescent="0.35">
      <c r="B44" t="s">
        <v>21</v>
      </c>
      <c r="D44" t="s">
        <v>55</v>
      </c>
      <c r="E44" t="s">
        <v>56</v>
      </c>
    </row>
    <row r="45" spans="2:6" x14ac:dyDescent="0.35">
      <c r="C45" t="s">
        <v>24</v>
      </c>
      <c r="D45" s="19">
        <v>0.85641025641025637</v>
      </c>
      <c r="E45" s="19">
        <v>0.75</v>
      </c>
    </row>
    <row r="46" spans="2:6" x14ac:dyDescent="0.35">
      <c r="C46" t="s">
        <v>25</v>
      </c>
      <c r="D46" s="19">
        <v>0.96</v>
      </c>
      <c r="E46" s="19">
        <v>0.56284999999999996</v>
      </c>
    </row>
    <row r="49" spans="3:6" x14ac:dyDescent="0.35">
      <c r="D49" t="s">
        <v>57</v>
      </c>
      <c r="E49" t="s">
        <v>58</v>
      </c>
      <c r="F49" t="s">
        <v>59</v>
      </c>
    </row>
    <row r="50" spans="3:6" x14ac:dyDescent="0.35">
      <c r="C50" t="s">
        <v>24</v>
      </c>
      <c r="D50" s="19">
        <v>1</v>
      </c>
      <c r="E50" s="19">
        <v>0</v>
      </c>
      <c r="F50" s="19">
        <v>0.81</v>
      </c>
    </row>
    <row r="51" spans="3:6" x14ac:dyDescent="0.35">
      <c r="C51" t="s">
        <v>25</v>
      </c>
      <c r="D51" s="19">
        <v>1</v>
      </c>
      <c r="E51" s="19">
        <v>0</v>
      </c>
      <c r="F51" s="19">
        <v>0.85499999999999998</v>
      </c>
    </row>
  </sheetData>
  <mergeCells count="2">
    <mergeCell ref="D2:E2"/>
    <mergeCell ref="F2:H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895E71D884B49860BDDFCE5792178" ma:contentTypeVersion="6" ma:contentTypeDescription="Create a new document." ma:contentTypeScope="" ma:versionID="edd8c9f757110e34d99668eb12690fb5">
  <xsd:schema xmlns:xsd="http://www.w3.org/2001/XMLSchema" xmlns:xs="http://www.w3.org/2001/XMLSchema" xmlns:p="http://schemas.microsoft.com/office/2006/metadata/properties" xmlns:ns2="a5f2e566-9870-4664-865a-d5739a23309e" xmlns:ns3="4333413c-573d-45d0-a3d6-e264a16aa55a" targetNamespace="http://schemas.microsoft.com/office/2006/metadata/properties" ma:root="true" ma:fieldsID="ca7f5b7e77a664caefd578b4aeaba574" ns2:_="" ns3:_="">
    <xsd:import namespace="a5f2e566-9870-4664-865a-d5739a23309e"/>
    <xsd:import namespace="4333413c-573d-45d0-a3d6-e264a16aa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2e566-9870-4664-865a-d5739a2330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3413c-573d-45d0-a3d6-e264a16aa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6ED6D6-10EE-46D9-AD4C-23E19C811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F0BD1D-4DA7-4F1B-932A-98B3C37346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f2e566-9870-4664-865a-d5739a23309e"/>
    <ds:schemaRef ds:uri="4333413c-573d-45d0-a3d6-e264a16aa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23733A-9816-43D4-9B9D-7B3067CCFF6A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a5f2e566-9870-4664-865a-d5739a23309e"/>
    <ds:schemaRef ds:uri="http://schemas.microsoft.com/office/2006/metadata/properties"/>
    <ds:schemaRef ds:uri="4333413c-573d-45d0-a3d6-e264a16aa55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Support</vt:lpstr>
      <vt:lpstr>Development</vt:lpstr>
      <vt:lpstr>Roll up - Support</vt:lpstr>
      <vt:lpstr>Roll up - Dev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aruna_shenoy</cp:lastModifiedBy>
  <cp:revision/>
  <dcterms:created xsi:type="dcterms:W3CDTF">2025-02-28T08:54:59Z</dcterms:created>
  <dcterms:modified xsi:type="dcterms:W3CDTF">2025-03-22T04:14:37Z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2025-02-28T08:55:05Z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dbaf3fa1-deff-4a5c-8c3c-dd5e1a0e794f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10, 3, 0, 2</vt:lpwstr>
  </property>
  <property fmtid="{D5CDD505-2E9C-101B-9397-08002B2CF9AE}" pid="10" name="ContentTypeId">
    <vt:lpwstr>0x010100B03895E71D884B49860BDDFCE5792178</vt:lpwstr>
  </property>
</Properties>
</file>